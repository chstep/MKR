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0" i="1" l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X110" i="1"/>
  <c r="AI105" i="1"/>
  <c r="AJ105" i="1"/>
  <c r="AK105" i="1"/>
  <c r="AL105" i="1"/>
  <c r="AH105" i="1"/>
  <c r="Y105" i="1"/>
  <c r="Z105" i="1"/>
  <c r="AA105" i="1"/>
  <c r="AB105" i="1"/>
  <c r="AC105" i="1"/>
  <c r="AD105" i="1"/>
  <c r="AE105" i="1"/>
  <c r="AF105" i="1"/>
  <c r="AG105" i="1"/>
  <c r="X105" i="1"/>
  <c r="AI100" i="1"/>
  <c r="AJ100" i="1"/>
  <c r="AK100" i="1"/>
  <c r="AL100" i="1"/>
  <c r="AH100" i="1"/>
  <c r="AE100" i="1"/>
  <c r="AF100" i="1"/>
  <c r="AG100" i="1"/>
  <c r="AD100" i="1"/>
  <c r="AC100" i="1"/>
  <c r="Y100" i="1"/>
  <c r="Z100" i="1"/>
  <c r="AA100" i="1"/>
  <c r="AB100" i="1"/>
  <c r="X100" i="1"/>
  <c r="AL95" i="1"/>
  <c r="AK95" i="1"/>
  <c r="AJ95" i="1"/>
  <c r="AI95" i="1"/>
  <c r="AH95" i="1"/>
  <c r="AG95" i="1"/>
  <c r="AF95" i="1"/>
  <c r="AE95" i="1"/>
  <c r="AD95" i="1"/>
  <c r="AC95" i="1"/>
  <c r="Y95" i="1"/>
  <c r="Z95" i="1"/>
  <c r="AA95" i="1"/>
  <c r="AB95" i="1"/>
  <c r="X95" i="1"/>
  <c r="AJ89" i="1"/>
  <c r="AI89" i="1"/>
  <c r="AH89" i="1"/>
  <c r="AL89" i="1"/>
  <c r="AK89" i="1"/>
  <c r="AG89" i="1"/>
  <c r="AF89" i="1"/>
  <c r="AE89" i="1"/>
  <c r="AD89" i="1"/>
  <c r="AC89" i="1"/>
  <c r="Y89" i="1"/>
  <c r="Z89" i="1"/>
  <c r="AA89" i="1"/>
  <c r="AB89" i="1"/>
  <c r="X89" i="1"/>
  <c r="G4" i="1"/>
  <c r="Y13" i="1" l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X13" i="1"/>
  <c r="X19" i="1"/>
  <c r="X20" i="1" s="1"/>
  <c r="X9" i="1"/>
  <c r="X10" i="1" s="1"/>
  <c r="AH6" i="1"/>
  <c r="AI6" i="1"/>
  <c r="AJ6" i="1"/>
  <c r="AK6" i="1"/>
  <c r="AL6" i="1"/>
  <c r="AC5" i="1"/>
  <c r="AA5" i="1"/>
  <c r="AG6" i="1"/>
  <c r="AH5" i="1"/>
  <c r="AI5" i="1"/>
  <c r="AJ5" i="1"/>
  <c r="AK5" i="1"/>
  <c r="AL5" i="1"/>
  <c r="AG5" i="1"/>
  <c r="AF5" i="1"/>
  <c r="AE5" i="1"/>
  <c r="AD5" i="1"/>
  <c r="Y5" i="1"/>
  <c r="Z5" i="1"/>
  <c r="AB5" i="1"/>
  <c r="X5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X3" i="1"/>
  <c r="P59" i="1"/>
  <c r="AH7" i="1" s="1"/>
  <c r="Q59" i="1"/>
  <c r="AI7" i="1" s="1"/>
  <c r="R59" i="1"/>
  <c r="AJ7" i="1" s="1"/>
  <c r="S59" i="1"/>
  <c r="AK7" i="1" s="1"/>
  <c r="G54" i="1"/>
  <c r="Y7" i="1" s="1"/>
  <c r="H54" i="1"/>
  <c r="Z7" i="1" s="1"/>
  <c r="I54" i="1"/>
  <c r="AA7" i="1" s="1"/>
  <c r="O59" i="1"/>
  <c r="AG7" i="1" s="1"/>
  <c r="F54" i="1"/>
  <c r="X7" i="1" s="1"/>
  <c r="T59" i="1"/>
  <c r="AL7" i="1" s="1"/>
  <c r="F39" i="1"/>
  <c r="X6" i="1" s="1"/>
  <c r="F69" i="1" l="1"/>
  <c r="X8" i="1" s="1"/>
  <c r="F7" i="1"/>
  <c r="F6" i="1" s="1"/>
  <c r="F5" i="1" s="1"/>
  <c r="F4" i="1" s="1"/>
  <c r="F36" i="1" s="1"/>
  <c r="F38" i="1" l="1"/>
  <c r="F37" i="1"/>
  <c r="M10" i="1"/>
  <c r="L9" i="1"/>
  <c r="M9" i="1"/>
  <c r="K8" i="1"/>
  <c r="L8" i="1"/>
  <c r="M8" i="1"/>
  <c r="O12" i="1"/>
  <c r="P12" i="1"/>
  <c r="Q12" i="1"/>
  <c r="R12" i="1"/>
  <c r="S12" i="1"/>
  <c r="N8" i="1"/>
  <c r="O8" i="1"/>
  <c r="P8" i="1"/>
  <c r="Q8" i="1"/>
  <c r="R8" i="1"/>
  <c r="S8" i="1"/>
  <c r="N9" i="1"/>
  <c r="M55" i="1" s="1"/>
  <c r="O9" i="1"/>
  <c r="P9" i="1"/>
  <c r="Q9" i="1"/>
  <c r="R9" i="1"/>
  <c r="S9" i="1"/>
  <c r="N10" i="1"/>
  <c r="O10" i="1"/>
  <c r="N56" i="1" s="1"/>
  <c r="P10" i="1"/>
  <c r="Q10" i="1"/>
  <c r="R10" i="1"/>
  <c r="S10" i="1"/>
  <c r="N11" i="1"/>
  <c r="O11" i="1"/>
  <c r="P11" i="1"/>
  <c r="Q11" i="1"/>
  <c r="R11" i="1"/>
  <c r="S11" i="1"/>
  <c r="H4" i="1"/>
  <c r="I4" i="1"/>
  <c r="J4" i="1"/>
  <c r="K4" i="1"/>
  <c r="L4" i="1"/>
  <c r="M4" i="1"/>
  <c r="N4" i="1"/>
  <c r="O4" i="1"/>
  <c r="P4" i="1"/>
  <c r="Q4" i="1"/>
  <c r="R4" i="1"/>
  <c r="S4" i="1"/>
  <c r="H5" i="1"/>
  <c r="G51" i="1" s="1"/>
  <c r="I5" i="1"/>
  <c r="J5" i="1"/>
  <c r="K5" i="1"/>
  <c r="L5" i="1"/>
  <c r="M5" i="1"/>
  <c r="N5" i="1"/>
  <c r="O5" i="1"/>
  <c r="P5" i="1"/>
  <c r="Q5" i="1"/>
  <c r="R5" i="1"/>
  <c r="S5" i="1"/>
  <c r="H6" i="1"/>
  <c r="I6" i="1"/>
  <c r="J6" i="1"/>
  <c r="K6" i="1"/>
  <c r="L6" i="1"/>
  <c r="M6" i="1"/>
  <c r="N6" i="1"/>
  <c r="O6" i="1"/>
  <c r="P6" i="1"/>
  <c r="Q6" i="1"/>
  <c r="R6" i="1"/>
  <c r="S6" i="1"/>
  <c r="H7" i="1"/>
  <c r="I7" i="1"/>
  <c r="J7" i="1"/>
  <c r="K7" i="1"/>
  <c r="L7" i="1"/>
  <c r="M7" i="1"/>
  <c r="N7" i="1"/>
  <c r="O7" i="1"/>
  <c r="P7" i="1"/>
  <c r="Q7" i="1"/>
  <c r="R7" i="1"/>
  <c r="S7" i="1"/>
  <c r="G5" i="1"/>
  <c r="F51" i="1" s="1"/>
  <c r="F66" i="1" s="1"/>
  <c r="G6" i="1"/>
  <c r="G7" i="1"/>
  <c r="B6" i="1"/>
  <c r="T12" i="1" s="1"/>
  <c r="F3" i="1"/>
  <c r="X15" i="1" s="1"/>
  <c r="Q55" i="1" l="1"/>
  <c r="R53" i="1"/>
  <c r="N55" i="1"/>
  <c r="L53" i="1"/>
  <c r="P52" i="1"/>
  <c r="I51" i="1"/>
  <c r="N52" i="1"/>
  <c r="L51" i="1"/>
  <c r="R56" i="1"/>
  <c r="P55" i="1"/>
  <c r="K53" i="1"/>
  <c r="O52" i="1"/>
  <c r="K51" i="1"/>
  <c r="Q56" i="1"/>
  <c r="O55" i="1"/>
  <c r="P56" i="1"/>
  <c r="R51" i="1"/>
  <c r="J51" i="1"/>
  <c r="M53" i="1"/>
  <c r="Q52" i="1"/>
  <c r="M51" i="1"/>
  <c r="O54" i="1"/>
  <c r="L54" i="1"/>
  <c r="Q53" i="1"/>
  <c r="M52" i="1"/>
  <c r="Q51" i="1"/>
  <c r="O56" i="1"/>
  <c r="P53" i="1"/>
  <c r="L52" i="1"/>
  <c r="R54" i="1"/>
  <c r="P51" i="1"/>
  <c r="I50" i="1"/>
  <c r="O50" i="1"/>
  <c r="N50" i="1"/>
  <c r="S43" i="1"/>
  <c r="R57" i="1"/>
  <c r="S44" i="1"/>
  <c r="S74" i="1" s="1"/>
  <c r="AK8" i="1" s="1"/>
  <c r="R58" i="1"/>
  <c r="M41" i="1"/>
  <c r="L55" i="1"/>
  <c r="Q50" i="1"/>
  <c r="H38" i="1"/>
  <c r="G52" i="1"/>
  <c r="J39" i="1"/>
  <c r="AB6" i="1" s="1"/>
  <c r="I53" i="1"/>
  <c r="M50" i="1"/>
  <c r="R43" i="1"/>
  <c r="Q57" i="1"/>
  <c r="R44" i="1"/>
  <c r="R74" i="1" s="1"/>
  <c r="AJ8" i="1" s="1"/>
  <c r="Q58" i="1"/>
  <c r="L41" i="1"/>
  <c r="AD6" i="1" s="1"/>
  <c r="K55" i="1"/>
  <c r="G38" i="1"/>
  <c r="F52" i="1"/>
  <c r="F67" i="1" s="1"/>
  <c r="G50" i="1"/>
  <c r="K40" i="1"/>
  <c r="AC6" i="1" s="1"/>
  <c r="J54" i="1"/>
  <c r="K39" i="1"/>
  <c r="J53" i="1"/>
  <c r="F34" i="1"/>
  <c r="X16" i="1" s="1"/>
  <c r="F35" i="1"/>
  <c r="I39" i="1"/>
  <c r="H53" i="1"/>
  <c r="L50" i="1"/>
  <c r="Q43" i="1"/>
  <c r="P57" i="1"/>
  <c r="Q44" i="1"/>
  <c r="Q74" i="1" s="1"/>
  <c r="AI8" i="1" s="1"/>
  <c r="P58" i="1"/>
  <c r="M42" i="1"/>
  <c r="AE6" i="1" s="1"/>
  <c r="L56" i="1"/>
  <c r="G39" i="1"/>
  <c r="F53" i="1"/>
  <c r="F68" i="1" s="1"/>
  <c r="T11" i="1"/>
  <c r="S58" i="1"/>
  <c r="T44" i="1"/>
  <c r="T74" i="1" s="1"/>
  <c r="AL8" i="1" s="1"/>
  <c r="T58" i="1"/>
  <c r="H39" i="1"/>
  <c r="G53" i="1"/>
  <c r="O51" i="1"/>
  <c r="K50" i="1"/>
  <c r="P43" i="1"/>
  <c r="O57" i="1"/>
  <c r="N42" i="1"/>
  <c r="M56" i="1"/>
  <c r="Q54" i="1"/>
  <c r="P44" i="1"/>
  <c r="P74" i="1" s="1"/>
  <c r="AH8" i="1" s="1"/>
  <c r="O58" i="1"/>
  <c r="J38" i="1"/>
  <c r="I52" i="1"/>
  <c r="N43" i="1"/>
  <c r="AF6" i="1" s="1"/>
  <c r="M57" i="1"/>
  <c r="I38" i="1"/>
  <c r="H52" i="1"/>
  <c r="P50" i="1"/>
  <c r="H50" i="1"/>
  <c r="N54" i="1"/>
  <c r="L40" i="1"/>
  <c r="K54" i="1"/>
  <c r="K69" i="1" s="1"/>
  <c r="M54" i="1"/>
  <c r="H51" i="1"/>
  <c r="O53" i="1"/>
  <c r="K52" i="1"/>
  <c r="F50" i="1"/>
  <c r="N53" i="1"/>
  <c r="R52" i="1"/>
  <c r="J52" i="1"/>
  <c r="N51" i="1"/>
  <c r="R50" i="1"/>
  <c r="J50" i="1"/>
  <c r="O43" i="1"/>
  <c r="N57" i="1"/>
  <c r="R55" i="1"/>
  <c r="P54" i="1"/>
  <c r="O44" i="1"/>
  <c r="O74" i="1" s="1"/>
  <c r="AG8" i="1" s="1"/>
  <c r="N58" i="1"/>
  <c r="P39" i="1"/>
  <c r="Q38" i="1"/>
  <c r="S39" i="1"/>
  <c r="Q39" i="1"/>
  <c r="N38" i="1"/>
  <c r="R39" i="1"/>
  <c r="R40" i="1"/>
  <c r="S41" i="1"/>
  <c r="M40" i="1"/>
  <c r="M70" i="1" s="1"/>
  <c r="S42" i="1"/>
  <c r="M38" i="1"/>
  <c r="L38" i="1"/>
  <c r="L68" i="1" s="1"/>
  <c r="Q40" i="1"/>
  <c r="P40" i="1"/>
  <c r="P70" i="1" s="1"/>
  <c r="G37" i="1"/>
  <c r="P38" i="1"/>
  <c r="P68" i="1" s="1"/>
  <c r="O40" i="1"/>
  <c r="O38" i="1"/>
  <c r="Q41" i="1"/>
  <c r="R42" i="1"/>
  <c r="R41" i="1"/>
  <c r="Q42" i="1"/>
  <c r="P41" i="1"/>
  <c r="O41" i="1"/>
  <c r="P42" i="1"/>
  <c r="N41" i="1"/>
  <c r="N71" i="1" s="1"/>
  <c r="O42" i="1"/>
  <c r="S40" i="1"/>
  <c r="N40" i="1"/>
  <c r="L39" i="1"/>
  <c r="H37" i="1"/>
  <c r="G36" i="1"/>
  <c r="G66" i="1" s="1"/>
  <c r="O39" i="1"/>
  <c r="S38" i="1"/>
  <c r="K38" i="1"/>
  <c r="O37" i="1"/>
  <c r="S36" i="1"/>
  <c r="K36" i="1"/>
  <c r="N36" i="1"/>
  <c r="I37" i="1"/>
  <c r="P37" i="1"/>
  <c r="N39" i="1"/>
  <c r="R38" i="1"/>
  <c r="N37" i="1"/>
  <c r="N67" i="1" s="1"/>
  <c r="R36" i="1"/>
  <c r="J36" i="1"/>
  <c r="J66" i="1" s="1"/>
  <c r="K37" i="1"/>
  <c r="J37" i="1"/>
  <c r="Q37" i="1"/>
  <c r="L36" i="1"/>
  <c r="M39" i="1"/>
  <c r="M37" i="1"/>
  <c r="Q36" i="1"/>
  <c r="I36" i="1"/>
  <c r="L37" i="1"/>
  <c r="P36" i="1"/>
  <c r="H36" i="1"/>
  <c r="S37" i="1"/>
  <c r="O36" i="1"/>
  <c r="R37" i="1"/>
  <c r="M36" i="1"/>
  <c r="G3" i="1"/>
  <c r="G34" i="1" s="1"/>
  <c r="Y16" i="1" s="1"/>
  <c r="R71" i="1" l="1"/>
  <c r="Q70" i="1"/>
  <c r="R66" i="1"/>
  <c r="P67" i="1"/>
  <c r="F49" i="1"/>
  <c r="Y15" i="1"/>
  <c r="N70" i="1"/>
  <c r="Q67" i="1"/>
  <c r="R68" i="1"/>
  <c r="K66" i="1"/>
  <c r="I66" i="1"/>
  <c r="P71" i="1"/>
  <c r="L66" i="1"/>
  <c r="K68" i="1"/>
  <c r="M68" i="1"/>
  <c r="O71" i="1"/>
  <c r="O67" i="1"/>
  <c r="Q71" i="1"/>
  <c r="O70" i="1"/>
  <c r="L67" i="1"/>
  <c r="M66" i="1"/>
  <c r="R69" i="1"/>
  <c r="P66" i="1"/>
  <c r="L69" i="1"/>
  <c r="Q68" i="1"/>
  <c r="M71" i="1"/>
  <c r="M67" i="1"/>
  <c r="O69" i="1"/>
  <c r="Q66" i="1"/>
  <c r="J67" i="1"/>
  <c r="N72" i="1"/>
  <c r="H68" i="1"/>
  <c r="S73" i="1"/>
  <c r="R73" i="1"/>
  <c r="H67" i="1"/>
  <c r="R70" i="1"/>
  <c r="I68" i="1"/>
  <c r="R67" i="1"/>
  <c r="P72" i="1"/>
  <c r="Y6" i="1"/>
  <c r="G69" i="1"/>
  <c r="Y8" i="1" s="1"/>
  <c r="Y9" i="1" s="1"/>
  <c r="F65" i="1"/>
  <c r="AD7" i="1"/>
  <c r="L71" i="1"/>
  <c r="AD8" i="1" s="1"/>
  <c r="Q72" i="1"/>
  <c r="N68" i="1"/>
  <c r="Q69" i="1"/>
  <c r="O66" i="1"/>
  <c r="J69" i="1"/>
  <c r="AB8" i="1" s="1"/>
  <c r="AB7" i="1"/>
  <c r="R72" i="1"/>
  <c r="T10" i="1"/>
  <c r="T43" i="1"/>
  <c r="T73" i="1" s="1"/>
  <c r="S57" i="1"/>
  <c r="S72" i="1" s="1"/>
  <c r="T57" i="1"/>
  <c r="N73" i="1"/>
  <c r="AF8" i="1" s="1"/>
  <c r="AF7" i="1"/>
  <c r="K67" i="1"/>
  <c r="N69" i="1"/>
  <c r="AE7" i="1"/>
  <c r="M72" i="1"/>
  <c r="AE8" i="1" s="1"/>
  <c r="G68" i="1"/>
  <c r="P73" i="1"/>
  <c r="K70" i="1"/>
  <c r="AC8" i="1" s="1"/>
  <c r="AC7" i="1"/>
  <c r="M69" i="1"/>
  <c r="O68" i="1"/>
  <c r="Z6" i="1"/>
  <c r="H69" i="1"/>
  <c r="Z8" i="1" s="1"/>
  <c r="G67" i="1"/>
  <c r="L70" i="1"/>
  <c r="O73" i="1"/>
  <c r="J68" i="1"/>
  <c r="P69" i="1"/>
  <c r="N66" i="1"/>
  <c r="H66" i="1"/>
  <c r="I67" i="1"/>
  <c r="O72" i="1"/>
  <c r="I69" i="1"/>
  <c r="AA8" i="1" s="1"/>
  <c r="AA6" i="1"/>
  <c r="Q73" i="1"/>
  <c r="G35" i="1"/>
  <c r="G65" i="1" s="1"/>
  <c r="H3" i="1"/>
  <c r="Z15" i="1" s="1"/>
  <c r="F64" i="1" l="1"/>
  <c r="X18" i="1" s="1"/>
  <c r="X17" i="1"/>
  <c r="T9" i="1"/>
  <c r="T42" i="1"/>
  <c r="S56" i="1"/>
  <c r="S71" i="1" s="1"/>
  <c r="T56" i="1"/>
  <c r="T72" i="1"/>
  <c r="G49" i="1"/>
  <c r="H34" i="1"/>
  <c r="Z16" i="1" s="1"/>
  <c r="H35" i="1"/>
  <c r="H65" i="1" s="1"/>
  <c r="I3" i="1"/>
  <c r="AA15" i="1" s="1"/>
  <c r="G64" i="1" l="1"/>
  <c r="Y18" i="1" s="1"/>
  <c r="Y19" i="1" s="1"/>
  <c r="Y20" i="1" s="1"/>
  <c r="Y17" i="1"/>
  <c r="H49" i="1"/>
  <c r="I34" i="1"/>
  <c r="AA16" i="1" s="1"/>
  <c r="T8" i="1"/>
  <c r="T55" i="1"/>
  <c r="S55" i="1"/>
  <c r="S70" i="1" s="1"/>
  <c r="T41" i="1"/>
  <c r="T71" i="1" s="1"/>
  <c r="J3" i="1"/>
  <c r="AB15" i="1" s="1"/>
  <c r="I35" i="1"/>
  <c r="I65" i="1" s="1"/>
  <c r="H64" i="1" l="1"/>
  <c r="Z18" i="1" s="1"/>
  <c r="Z19" i="1" s="1"/>
  <c r="Z20" i="1" s="1"/>
  <c r="Z17" i="1"/>
  <c r="T7" i="1"/>
  <c r="T54" i="1"/>
  <c r="S54" i="1"/>
  <c r="S69" i="1" s="1"/>
  <c r="T40" i="1"/>
  <c r="T70" i="1" s="1"/>
  <c r="I49" i="1"/>
  <c r="J34" i="1"/>
  <c r="AB16" i="1" s="1"/>
  <c r="K3" i="1"/>
  <c r="AC15" i="1" s="1"/>
  <c r="J35" i="1"/>
  <c r="J65" i="1" s="1"/>
  <c r="I64" i="1" l="1"/>
  <c r="AA18" i="1" s="1"/>
  <c r="AA19" i="1" s="1"/>
  <c r="AA20" i="1" s="1"/>
  <c r="AA17" i="1"/>
  <c r="J49" i="1"/>
  <c r="K34" i="1"/>
  <c r="AC16" i="1" s="1"/>
  <c r="T6" i="1"/>
  <c r="T39" i="1"/>
  <c r="T69" i="1" s="1"/>
  <c r="T53" i="1"/>
  <c r="S53" i="1"/>
  <c r="S68" i="1" s="1"/>
  <c r="L3" i="1"/>
  <c r="AD15" i="1" s="1"/>
  <c r="K35" i="1"/>
  <c r="K65" i="1" s="1"/>
  <c r="J64" i="1" l="1"/>
  <c r="AB18" i="1" s="1"/>
  <c r="AB19" i="1" s="1"/>
  <c r="AB20" i="1" s="1"/>
  <c r="AB17" i="1"/>
  <c r="K49" i="1"/>
  <c r="L34" i="1"/>
  <c r="AD16" i="1" s="1"/>
  <c r="T5" i="1"/>
  <c r="T52" i="1"/>
  <c r="S52" i="1"/>
  <c r="S67" i="1" s="1"/>
  <c r="T38" i="1"/>
  <c r="T68" i="1" s="1"/>
  <c r="M3" i="1"/>
  <c r="AE15" i="1" s="1"/>
  <c r="L35" i="1"/>
  <c r="L65" i="1" s="1"/>
  <c r="K64" i="1" l="1"/>
  <c r="AC18" i="1" s="1"/>
  <c r="AC19" i="1" s="1"/>
  <c r="AC20" i="1" s="1"/>
  <c r="AC17" i="1"/>
  <c r="L49" i="1"/>
  <c r="M34" i="1"/>
  <c r="AE16" i="1" s="1"/>
  <c r="T4" i="1"/>
  <c r="S51" i="1"/>
  <c r="S66" i="1" s="1"/>
  <c r="T37" i="1"/>
  <c r="T67" i="1" s="1"/>
  <c r="T51" i="1"/>
  <c r="N3" i="1"/>
  <c r="AF15" i="1" s="1"/>
  <c r="M35" i="1"/>
  <c r="M65" i="1" s="1"/>
  <c r="L64" i="1" l="1"/>
  <c r="AD18" i="1" s="1"/>
  <c r="AD19" i="1" s="1"/>
  <c r="AD20" i="1" s="1"/>
  <c r="AD17" i="1"/>
  <c r="M49" i="1"/>
  <c r="N34" i="1"/>
  <c r="AF16" i="1" s="1"/>
  <c r="T36" i="1"/>
  <c r="T66" i="1" s="1"/>
  <c r="S50" i="1"/>
  <c r="T50" i="1"/>
  <c r="O3" i="1"/>
  <c r="AG15" i="1" s="1"/>
  <c r="N35" i="1"/>
  <c r="N65" i="1" s="1"/>
  <c r="M64" i="1" l="1"/>
  <c r="AE18" i="1" s="1"/>
  <c r="AE19" i="1" s="1"/>
  <c r="AE20" i="1" s="1"/>
  <c r="AE17" i="1"/>
  <c r="N49" i="1"/>
  <c r="O34" i="1"/>
  <c r="AG16" i="1" s="1"/>
  <c r="P3" i="1"/>
  <c r="AH15" i="1" s="1"/>
  <c r="O35" i="1"/>
  <c r="O65" i="1" s="1"/>
  <c r="N64" i="1" l="1"/>
  <c r="AF18" i="1" s="1"/>
  <c r="AF19" i="1" s="1"/>
  <c r="AF20" i="1" s="1"/>
  <c r="AF17" i="1"/>
  <c r="O49" i="1"/>
  <c r="P34" i="1"/>
  <c r="AH16" i="1" s="1"/>
  <c r="Q3" i="1"/>
  <c r="AI15" i="1" s="1"/>
  <c r="P35" i="1"/>
  <c r="P65" i="1" s="1"/>
  <c r="O64" i="1" l="1"/>
  <c r="AG18" i="1" s="1"/>
  <c r="AG19" i="1" s="1"/>
  <c r="AG20" i="1" s="1"/>
  <c r="AG17" i="1"/>
  <c r="P49" i="1"/>
  <c r="Q34" i="1"/>
  <c r="AI16" i="1" s="1"/>
  <c r="R3" i="1"/>
  <c r="AJ15" i="1" s="1"/>
  <c r="Q35" i="1"/>
  <c r="Q65" i="1" s="1"/>
  <c r="P64" i="1" l="1"/>
  <c r="AH18" i="1" s="1"/>
  <c r="AH19" i="1" s="1"/>
  <c r="AH20" i="1" s="1"/>
  <c r="AH17" i="1"/>
  <c r="Q49" i="1"/>
  <c r="R34" i="1"/>
  <c r="AJ16" i="1" s="1"/>
  <c r="S3" i="1"/>
  <c r="AK15" i="1" s="1"/>
  <c r="R35" i="1"/>
  <c r="R65" i="1" s="1"/>
  <c r="Q64" i="1" l="1"/>
  <c r="AI18" i="1" s="1"/>
  <c r="AI19" i="1" s="1"/>
  <c r="AI20" i="1" s="1"/>
  <c r="AI17" i="1"/>
  <c r="R49" i="1"/>
  <c r="S34" i="1"/>
  <c r="AK16" i="1" s="1"/>
  <c r="T3" i="1"/>
  <c r="AL15" i="1" s="1"/>
  <c r="S35" i="1"/>
  <c r="S65" i="1" s="1"/>
  <c r="Y10" i="1"/>
  <c r="R64" i="1" l="1"/>
  <c r="AJ18" i="1" s="1"/>
  <c r="AJ19" i="1" s="1"/>
  <c r="AJ20" i="1" s="1"/>
  <c r="AJ17" i="1"/>
  <c r="T35" i="1"/>
  <c r="T65" i="1" s="1"/>
  <c r="T34" i="1"/>
  <c r="AL16" i="1" s="1"/>
  <c r="T49" i="1"/>
  <c r="S49" i="1"/>
  <c r="Z9" i="1"/>
  <c r="S64" i="1" l="1"/>
  <c r="AK18" i="1" s="1"/>
  <c r="AK19" i="1" s="1"/>
  <c r="AK20" i="1" s="1"/>
  <c r="AK17" i="1"/>
  <c r="T64" i="1"/>
  <c r="AL18" i="1" s="1"/>
  <c r="AL17" i="1"/>
  <c r="Z10" i="1"/>
  <c r="AA9" i="1"/>
  <c r="AL19" i="1" l="1"/>
  <c r="AL20" i="1" s="1"/>
  <c r="AA10" i="1"/>
  <c r="AB9" i="1"/>
  <c r="AC9" i="1" l="1"/>
  <c r="AB10" i="1"/>
  <c r="AC10" i="1" l="1"/>
  <c r="AD9" i="1"/>
  <c r="AD10" i="1" l="1"/>
  <c r="AE9" i="1"/>
  <c r="AE10" i="1" l="1"/>
  <c r="AF9" i="1"/>
  <c r="AG9" i="1" l="1"/>
  <c r="AF10" i="1"/>
  <c r="AG10" i="1" l="1"/>
  <c r="AH9" i="1"/>
  <c r="AH10" i="1" l="1"/>
  <c r="AI9" i="1"/>
  <c r="AJ9" i="1" l="1"/>
  <c r="AI10" i="1"/>
  <c r="AK9" i="1" l="1"/>
  <c r="AJ10" i="1"/>
  <c r="AK10" i="1" l="1"/>
  <c r="AL9" i="1"/>
  <c r="AL10" i="1" s="1"/>
</calcChain>
</file>

<file path=xl/sharedStrings.xml><?xml version="1.0" encoding="utf-8"?>
<sst xmlns="http://schemas.openxmlformats.org/spreadsheetml/2006/main" count="47" uniqueCount="21">
  <si>
    <t>dx=dy</t>
  </si>
  <si>
    <t>V_in</t>
  </si>
  <si>
    <t>p_in</t>
  </si>
  <si>
    <t>V_out</t>
  </si>
  <si>
    <t>N_L</t>
  </si>
  <si>
    <t>N_H</t>
  </si>
  <si>
    <t>start_Row</t>
  </si>
  <si>
    <t>start_Column</t>
  </si>
  <si>
    <t>psi</t>
  </si>
  <si>
    <t>n_iter</t>
  </si>
  <si>
    <t>x</t>
  </si>
  <si>
    <t>U</t>
  </si>
  <si>
    <t>V</t>
  </si>
  <si>
    <t>абсолютная</t>
  </si>
  <si>
    <t>Нижняя Граница</t>
  </si>
  <si>
    <t>y</t>
  </si>
  <si>
    <t>ψ</t>
  </si>
  <si>
    <t>Абс.скор.</t>
  </si>
  <si>
    <t>p</t>
  </si>
  <si>
    <t>Cp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</si>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</sst>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4" borderId="1" xfId="0" applyNumberFormat="1" applyFill="1" applyBorder="1"/>
    <xf numFmtId="2" fontId="0" fillId="0" borderId="0" xfId="0" applyNumberFormat="1"/>
    <xf numFmtId="2" fontId="0" fillId="2" borderId="1" xfId="0" applyNumberFormat="1" applyFill="1" applyBorder="1"/>
    <xf numFmtId="2" fontId="0" fillId="6" borderId="1" xfId="0" applyNumberFormat="1" applyFill="1" applyBorder="1"/>
    <xf numFmtId="2" fontId="0" fillId="0" borderId="1" xfId="0" applyNumberFormat="1" applyBorder="1"/>
    <xf numFmtId="2" fontId="0" fillId="3" borderId="1" xfId="0" applyNumberFormat="1" applyFill="1" applyBorder="1"/>
    <xf numFmtId="2" fontId="0" fillId="5" borderId="1" xfId="0" applyNumberForma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2" fontId="0" fillId="2" borderId="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412971412927656E-2"/>
          <c:y val="2.2079317176985112E-2"/>
          <c:w val="0.78834871450408162"/>
          <c:h val="0.79841610240244409"/>
        </c:manualLayout>
      </c:layout>
      <c:scatterChart>
        <c:scatterStyle val="smoothMarker"/>
        <c:varyColors val="0"/>
        <c:ser>
          <c:idx val="0"/>
          <c:order val="0"/>
          <c:tx>
            <c:v>Нижняя граница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Лист1!$X$3:$AL$3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Лист1!$X$10:$AL$10</c:f>
              <c:numCache>
                <c:formatCode>0.000</c:formatCode>
                <c:ptCount val="15"/>
                <c:pt idx="0">
                  <c:v>0</c:v>
                </c:pt>
                <c:pt idx="1">
                  <c:v>-3.5734414323815147E-2</c:v>
                </c:pt>
                <c:pt idx="2">
                  <c:v>-9.1027897609164937E-2</c:v>
                </c:pt>
                <c:pt idx="3">
                  <c:v>-0.20355959277774674</c:v>
                </c:pt>
                <c:pt idx="4">
                  <c:v>-0.59332146326283697</c:v>
                </c:pt>
                <c:pt idx="5">
                  <c:v>0.30866491536435203</c:v>
                </c:pt>
                <c:pt idx="6">
                  <c:v>0.58972119223268238</c:v>
                </c:pt>
                <c:pt idx="7">
                  <c:v>0.7418598867882974</c:v>
                </c:pt>
                <c:pt idx="8">
                  <c:v>0.85364182511257236</c:v>
                </c:pt>
                <c:pt idx="9">
                  <c:v>0.95233808534452691</c:v>
                </c:pt>
                <c:pt idx="10">
                  <c:v>0.89242080992698902</c:v>
                </c:pt>
                <c:pt idx="11">
                  <c:v>0.84549838249076859</c:v>
                </c:pt>
                <c:pt idx="12">
                  <c:v>0.80892157868511272</c:v>
                </c:pt>
                <c:pt idx="13">
                  <c:v>0.77837339297431751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56-427A-A91F-AD77646E75AA}"/>
            </c:ext>
          </c:extLst>
        </c:ser>
        <c:ser>
          <c:idx val="1"/>
          <c:order val="1"/>
          <c:tx>
            <c:v>Верхняя граница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Лист1!$X$3:$AL$3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Лист1!$X$20:$AL$20</c:f>
              <c:numCache>
                <c:formatCode>0.000</c:formatCode>
                <c:ptCount val="15"/>
                <c:pt idx="0">
                  <c:v>0</c:v>
                </c:pt>
                <c:pt idx="1">
                  <c:v>2.8141407908697146E-2</c:v>
                </c:pt>
                <c:pt idx="2">
                  <c:v>6.3811199651390774E-2</c:v>
                </c:pt>
                <c:pt idx="3">
                  <c:v>0.11457971536059632</c:v>
                </c:pt>
                <c:pt idx="4">
                  <c:v>0.1856783459187136</c:v>
                </c:pt>
                <c:pt idx="5">
                  <c:v>0.27483659515884939</c:v>
                </c:pt>
                <c:pt idx="6">
                  <c:v>0.36818811577104499</c:v>
                </c:pt>
                <c:pt idx="7">
                  <c:v>0.45396913476579359</c:v>
                </c:pt>
                <c:pt idx="8">
                  <c:v>0.52676598981750433</c:v>
                </c:pt>
                <c:pt idx="9">
                  <c:v>0.58589179273287295</c:v>
                </c:pt>
                <c:pt idx="10">
                  <c:v>0.63300590336730234</c:v>
                </c:pt>
                <c:pt idx="11">
                  <c:v>0.67057182384218317</c:v>
                </c:pt>
                <c:pt idx="12">
                  <c:v>0.7011111315496964</c:v>
                </c:pt>
                <c:pt idx="13">
                  <c:v>0.72692013678693912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56-427A-A91F-AD77646E7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133088"/>
        <c:axId val="310122592"/>
      </c:scatterChart>
      <c:valAx>
        <c:axId val="31013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122592"/>
        <c:crosses val="autoZero"/>
        <c:crossBetween val="midCat"/>
      </c:valAx>
      <c:valAx>
        <c:axId val="31012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13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013969452421503"/>
          <c:y val="0.46669039954099989"/>
          <c:w val="0.1110937192147216"/>
          <c:h val="8.0398718581413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Линии</a:t>
            </a:r>
            <a:r>
              <a:rPr lang="ru-RU" baseline="0"/>
              <a:t> тока</a:t>
            </a:r>
          </a:p>
          <a:p>
            <a:pPr>
              <a:defRPr/>
            </a:pP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3.7648672224725781E-2"/>
          <c:y val="0.14422889933748412"/>
          <c:w val="0.91656320293880356"/>
          <c:h val="0.81940761877550039"/>
        </c:manualLayout>
      </c:layout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Лист1!$X$3:$AL$3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Лист1!$X$4:$AL$4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87-492E-B806-4116E12C4A3F}"/>
            </c:ext>
          </c:extLst>
        </c:ser>
        <c:ser>
          <c:idx val="1"/>
          <c:order val="1"/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Лист1!$X$14:$AL$14</c:f>
              <c:numCache>
                <c:formatCode>General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87-492E-B806-4116E12C4A3F}"/>
            </c:ext>
          </c:extLst>
        </c:ser>
        <c:ser>
          <c:idx val="2"/>
          <c:order val="2"/>
          <c:tx>
            <c:v>2,5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Лист1!$X$88:$AL$88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Лист1!$X$89:$AL$89</c:f>
              <c:numCache>
                <c:formatCode>General</c:formatCode>
                <c:ptCount val="15"/>
                <c:pt idx="0">
                  <c:v>1.2499999999999998</c:v>
                </c:pt>
                <c:pt idx="1">
                  <c:v>1.2460614162290951</c:v>
                </c:pt>
                <c:pt idx="2">
                  <c:v>1.2403375323170083</c:v>
                </c:pt>
                <c:pt idx="3">
                  <c:v>1.2297295679882001</c:v>
                </c:pt>
                <c:pt idx="4">
                  <c:v>1.2063058799671986</c:v>
                </c:pt>
                <c:pt idx="5">
                  <c:v>1.1342228744670602</c:v>
                </c:pt>
                <c:pt idx="6">
                  <c:v>1.0363730674883957</c:v>
                </c:pt>
                <c:pt idx="7">
                  <c:v>0.92700467587402091</c:v>
                </c:pt>
                <c:pt idx="8">
                  <c:v>0.8243994110535503</c:v>
                </c:pt>
                <c:pt idx="9">
                  <c:v>0.7297365841092136</c:v>
                </c:pt>
                <c:pt idx="10">
                  <c:v>0.65485016175756572</c:v>
                </c:pt>
                <c:pt idx="11">
                  <c:v>0.59987721521612236</c:v>
                </c:pt>
                <c:pt idx="12">
                  <c:v>0.55755813015892053</c:v>
                </c:pt>
                <c:pt idx="13">
                  <c:v>0.52603509592791464</c:v>
                </c:pt>
                <c:pt idx="1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D2-4F56-A21D-0455ED4177A7}"/>
            </c:ext>
          </c:extLst>
        </c:ser>
        <c:ser>
          <c:idx val="3"/>
          <c:order val="3"/>
          <c:tx>
            <c:v>0,5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Лист1!$X$94:$AL$94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Лист1!$X$95:$AL$95</c:f>
              <c:numCache>
                <c:formatCode>General</c:formatCode>
                <c:ptCount val="15"/>
                <c:pt idx="0">
                  <c:v>1.05</c:v>
                </c:pt>
                <c:pt idx="1">
                  <c:v>1.0491298946600744</c:v>
                </c:pt>
                <c:pt idx="2">
                  <c:v>1.04786875673812</c:v>
                </c:pt>
                <c:pt idx="3">
                  <c:v>1.0455760121271813</c:v>
                </c:pt>
                <c:pt idx="4">
                  <c:v>1.041055453938865</c:v>
                </c:pt>
                <c:pt idx="5">
                  <c:v>0.87533509910182117</c:v>
                </c:pt>
                <c:pt idx="6">
                  <c:v>0.69983356036979105</c:v>
                </c:pt>
                <c:pt idx="7">
                  <c:v>0.52521802968659048</c:v>
                </c:pt>
                <c:pt idx="8">
                  <c:v>0.3591550776965744</c:v>
                </c:pt>
                <c:pt idx="9">
                  <c:v>0.21938137186602896</c:v>
                </c:pt>
                <c:pt idx="10">
                  <c:v>0.15244269020096768</c:v>
                </c:pt>
                <c:pt idx="11">
                  <c:v>0.12720497960239655</c:v>
                </c:pt>
                <c:pt idx="12">
                  <c:v>0.11438382178443882</c:v>
                </c:pt>
                <c:pt idx="13">
                  <c:v>0.10620850017293391</c:v>
                </c:pt>
                <c:pt idx="1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D2-4F56-A21D-0455ED4177A7}"/>
            </c:ext>
          </c:extLst>
        </c:ser>
        <c:ser>
          <c:idx val="4"/>
          <c:order val="4"/>
          <c:tx>
            <c:v>5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Лист1!$X$99:$AL$99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Лист1!$X$100:$AL$100</c:f>
              <c:numCache>
                <c:formatCode>General</c:formatCode>
                <c:ptCount val="15"/>
                <c:pt idx="0">
                  <c:v>1.5</c:v>
                </c:pt>
                <c:pt idx="1">
                  <c:v>1.4949323333062368</c:v>
                </c:pt>
                <c:pt idx="2">
                  <c:v>1.4879345255735488</c:v>
                </c:pt>
                <c:pt idx="3">
                  <c:v>1.4763333400139103</c:v>
                </c:pt>
                <c:pt idx="4">
                  <c:v>1.4555947838013368</c:v>
                </c:pt>
                <c:pt idx="5">
                  <c:v>1.4180355343495723</c:v>
                </c:pt>
                <c:pt idx="6">
                  <c:v>1.3687684985710189</c:v>
                </c:pt>
                <c:pt idx="7">
                  <c:v>1.3123546315220482</c:v>
                </c:pt>
                <c:pt idx="8">
                  <c:v>1.254956394137636</c:v>
                </c:pt>
                <c:pt idx="9">
                  <c:v>1.2006197114314954</c:v>
                </c:pt>
                <c:pt idx="10">
                  <c:v>1.1490306828830925</c:v>
                </c:pt>
                <c:pt idx="11">
                  <c:v>1.1044918314342715</c:v>
                </c:pt>
                <c:pt idx="12">
                  <c:v>1.0661386339734156</c:v>
                </c:pt>
                <c:pt idx="13">
                  <c:v>1.0321108559187469</c:v>
                </c:pt>
                <c:pt idx="14">
                  <c:v>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D2-4F56-A21D-0455ED4177A7}"/>
            </c:ext>
          </c:extLst>
        </c:ser>
        <c:ser>
          <c:idx val="5"/>
          <c:order val="5"/>
          <c:tx>
            <c:v>7,5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Лист1!$X$104:$AL$104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Лист1!$X$105:$AL$105</c:f>
              <c:numCache>
                <c:formatCode>General</c:formatCode>
                <c:ptCount val="15"/>
                <c:pt idx="0">
                  <c:v>1.7500000000000002</c:v>
                </c:pt>
                <c:pt idx="1">
                  <c:v>1.7466276886374463</c:v>
                </c:pt>
                <c:pt idx="2">
                  <c:v>1.7421192905010556</c:v>
                </c:pt>
                <c:pt idx="3">
                  <c:v>1.7351410934325795</c:v>
                </c:pt>
                <c:pt idx="4">
                  <c:v>1.7239931165748312</c:v>
                </c:pt>
                <c:pt idx="5">
                  <c:v>1.7070632154347272</c:v>
                </c:pt>
                <c:pt idx="6">
                  <c:v>1.6853700517740737</c:v>
                </c:pt>
                <c:pt idx="7">
                  <c:v>1.6607519906119832</c:v>
                </c:pt>
                <c:pt idx="8">
                  <c:v>1.6349995652331901</c:v>
                </c:pt>
                <c:pt idx="9">
                  <c:v>1.6095247400596546</c:v>
                </c:pt>
                <c:pt idx="10">
                  <c:v>1.5849348926567199</c:v>
                </c:pt>
                <c:pt idx="11">
                  <c:v>1.5619001781409563</c:v>
                </c:pt>
                <c:pt idx="12">
                  <c:v>1.5405530579846973</c:v>
                </c:pt>
                <c:pt idx="13">
                  <c:v>1.5202756684868468</c:v>
                </c:pt>
                <c:pt idx="14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7D2-4F56-A21D-0455ED4177A7}"/>
            </c:ext>
          </c:extLst>
        </c:ser>
        <c:ser>
          <c:idx val="6"/>
          <c:order val="6"/>
          <c:tx>
            <c:v>9,5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Лист1!$X$109:$AL$109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Лист1!$X$110:$AL$110</c:f>
              <c:numCache>
                <c:formatCode>General</c:formatCode>
                <c:ptCount val="15"/>
                <c:pt idx="0">
                  <c:v>1.9499999999999997</c:v>
                </c:pt>
                <c:pt idx="1">
                  <c:v>1.9492812626278475</c:v>
                </c:pt>
                <c:pt idx="2">
                  <c:v>1.9483240799768198</c:v>
                </c:pt>
                <c:pt idx="3">
                  <c:v>1.9468632296705</c:v>
                </c:pt>
                <c:pt idx="4">
                  <c:v>1.9445920810899722</c:v>
                </c:pt>
                <c:pt idx="5">
                  <c:v>1.9412846303246549</c:v>
                </c:pt>
                <c:pt idx="6">
                  <c:v>1.937096363138638</c:v>
                </c:pt>
                <c:pt idx="7">
                  <c:v>1.9323354910422728</c:v>
                </c:pt>
                <c:pt idx="8">
                  <c:v>1.9273172278163329</c:v>
                </c:pt>
                <c:pt idx="9">
                  <c:v>1.9223015312673912</c:v>
                </c:pt>
                <c:pt idx="10">
                  <c:v>1.9174646763952967</c:v>
                </c:pt>
                <c:pt idx="11">
                  <c:v>1.9128857770235865</c:v>
                </c:pt>
                <c:pt idx="12">
                  <c:v>1.908543470714174</c:v>
                </c:pt>
                <c:pt idx="13">
                  <c:v>1.9043191715397745</c:v>
                </c:pt>
                <c:pt idx="14">
                  <c:v>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7D2-4F56-A21D-0455ED417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42504"/>
        <c:axId val="427108992"/>
      </c:scatterChart>
      <c:valAx>
        <c:axId val="421742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7108992"/>
        <c:crosses val="autoZero"/>
        <c:crossBetween val="midCat"/>
      </c:valAx>
      <c:valAx>
        <c:axId val="42710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1742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38100</xdr:rowOff>
        </xdr:from>
        <xdr:to>
          <xdr:col>3</xdr:col>
          <xdr:colOff>247650</xdr:colOff>
          <xdr:row>19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598713</xdr:colOff>
      <xdr:row>22</xdr:row>
      <xdr:rowOff>2721</xdr:rowOff>
    </xdr:from>
    <xdr:to>
      <xdr:col>39</xdr:col>
      <xdr:colOff>231322</xdr:colOff>
      <xdr:row>50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103908</xdr:colOff>
      <xdr:row>50</xdr:row>
      <xdr:rowOff>51955</xdr:rowOff>
    </xdr:from>
    <xdr:to>
      <xdr:col>40</xdr:col>
      <xdr:colOff>0</xdr:colOff>
      <xdr:row>85</xdr:row>
      <xdr:rowOff>86591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37</xdr:col>
      <xdr:colOff>415637</xdr:colOff>
      <xdr:row>41</xdr:row>
      <xdr:rowOff>103909</xdr:rowOff>
    </xdr:from>
    <xdr:ext cx="184731" cy="264560"/>
    <xdr:sp macro="" textlink="">
      <xdr:nvSpPr>
        <xdr:cNvPr id="4" name="TextBox 3"/>
        <xdr:cNvSpPr txBox="1"/>
      </xdr:nvSpPr>
      <xdr:spPr>
        <a:xfrm>
          <a:off x="23691273" y="791440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0.01387</cdr:x>
      <cdr:y>0.03522</cdr:y>
    </cdr:from>
    <cdr:to>
      <cdr:x>0.05549</cdr:x>
      <cdr:y>0.10924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9680" y="187779"/>
          <a:ext cx="449036" cy="3946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</a:p>
        <a:p xmlns:a="http://schemas.openxmlformats.org/drawingml/2006/main">
          <a:endParaRPr lang="ru-RU" sz="1800"/>
        </a:p>
      </cdr:txBody>
    </cdr:sp>
  </cdr:relSizeAnchor>
  <cdr:relSizeAnchor xmlns:cdr="http://schemas.openxmlformats.org/drawingml/2006/chartDrawing">
    <cdr:from>
      <cdr:x>0.89281</cdr:x>
      <cdr:y>0.64012</cdr:y>
    </cdr:from>
    <cdr:to>
      <cdr:x>0.93443</cdr:x>
      <cdr:y>0.70904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633858" y="3412671"/>
          <a:ext cx="449035" cy="3673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x</a:t>
          </a:r>
          <a:endParaRPr lang="ru-RU" sz="1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0.03815</cdr:y>
    </cdr:from>
    <cdr:to>
      <cdr:x>0.08882</cdr:x>
      <cdr:y>0.13896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42454"/>
          <a:ext cx="935182" cy="6407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/>
            <a:t>Y, m</a:t>
          </a:r>
          <a:endParaRPr lang="ru-RU" sz="1600"/>
        </a:p>
      </cdr:txBody>
    </cdr:sp>
  </cdr:relSizeAnchor>
  <cdr:relSizeAnchor xmlns:cdr="http://schemas.openxmlformats.org/drawingml/2006/chartDrawing">
    <cdr:from>
      <cdr:x>0.85855</cdr:x>
      <cdr:y>0.47684</cdr:y>
    </cdr:from>
    <cdr:to>
      <cdr:x>0.94539</cdr:x>
      <cdr:y>0.62071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040092" y="303068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0.94471</cdr:x>
      <cdr:y>0.92248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356274" y="6182590"/>
          <a:ext cx="606136" cy="5195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X, m</a:t>
          </a:r>
          <a:endParaRPr lang="ru-RU" sz="16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AL111"/>
  <sheetViews>
    <sheetView tabSelected="1" topLeftCell="A46" zoomScale="55" zoomScaleNormal="55" workbookViewId="0">
      <selection activeCell="AQ70" sqref="AQ70"/>
    </sheetView>
  </sheetViews>
  <sheetFormatPr defaultRowHeight="15" x14ac:dyDescent="0.25"/>
  <cols>
    <col min="1" max="1" width="15" style="2" customWidth="1"/>
    <col min="2" max="2" width="13.42578125" style="2" customWidth="1"/>
    <col min="3" max="23" width="9.140625" style="2"/>
    <col min="24" max="24" width="10.140625" style="2" bestFit="1" customWidth="1"/>
    <col min="25" max="25" width="10.28515625" style="2" bestFit="1" customWidth="1"/>
    <col min="26" max="16384" width="9.140625" style="2"/>
  </cols>
  <sheetData>
    <row r="2" spans="1:38" x14ac:dyDescent="0.25">
      <c r="A2" s="1" t="s">
        <v>0</v>
      </c>
      <c r="B2" s="1">
        <v>0.2</v>
      </c>
      <c r="E2" s="3"/>
      <c r="F2" s="3">
        <v>1</v>
      </c>
      <c r="G2" s="3">
        <v>2</v>
      </c>
      <c r="H2" s="3">
        <v>3</v>
      </c>
      <c r="I2" s="3">
        <v>4</v>
      </c>
      <c r="J2" s="3">
        <v>5</v>
      </c>
      <c r="K2" s="3">
        <v>6</v>
      </c>
      <c r="L2" s="3">
        <v>7</v>
      </c>
      <c r="M2" s="3">
        <v>8</v>
      </c>
      <c r="N2" s="3">
        <v>9</v>
      </c>
      <c r="O2" s="3">
        <v>10</v>
      </c>
      <c r="P2" s="3">
        <v>11</v>
      </c>
      <c r="Q2" s="3">
        <v>12</v>
      </c>
      <c r="R2" s="3">
        <v>13</v>
      </c>
      <c r="S2" s="3">
        <v>14</v>
      </c>
      <c r="T2" s="3">
        <v>15</v>
      </c>
      <c r="U2" s="3"/>
      <c r="W2" s="8" t="s">
        <v>14</v>
      </c>
      <c r="X2" s="9">
        <v>1</v>
      </c>
      <c r="Y2" s="9">
        <v>2</v>
      </c>
      <c r="Z2" s="9">
        <v>3</v>
      </c>
      <c r="AA2" s="9">
        <v>4</v>
      </c>
      <c r="AB2" s="9">
        <v>5</v>
      </c>
      <c r="AC2" s="9">
        <v>6</v>
      </c>
      <c r="AD2" s="9">
        <v>7</v>
      </c>
      <c r="AE2" s="9">
        <v>8</v>
      </c>
      <c r="AF2" s="9">
        <v>9</v>
      </c>
      <c r="AG2" s="9">
        <v>10</v>
      </c>
      <c r="AH2" s="9">
        <v>11</v>
      </c>
      <c r="AI2" s="9">
        <v>12</v>
      </c>
      <c r="AJ2" s="9">
        <v>13</v>
      </c>
      <c r="AK2" s="9">
        <v>14</v>
      </c>
      <c r="AL2" s="9">
        <v>15</v>
      </c>
    </row>
    <row r="3" spans="1:38" x14ac:dyDescent="0.25">
      <c r="E3" s="3">
        <v>2</v>
      </c>
      <c r="F3" s="4">
        <f t="shared" ref="F3:F7" si="0">F4+$B$2*$B$4</f>
        <v>10</v>
      </c>
      <c r="G3" s="4">
        <f>F3</f>
        <v>10</v>
      </c>
      <c r="H3" s="4">
        <f t="shared" ref="H3:T3" si="1">G3</f>
        <v>10</v>
      </c>
      <c r="I3" s="4">
        <f t="shared" si="1"/>
        <v>10</v>
      </c>
      <c r="J3" s="4">
        <f t="shared" si="1"/>
        <v>10</v>
      </c>
      <c r="K3" s="4">
        <f t="shared" si="1"/>
        <v>10</v>
      </c>
      <c r="L3" s="4">
        <f t="shared" si="1"/>
        <v>10</v>
      </c>
      <c r="M3" s="4">
        <f t="shared" si="1"/>
        <v>10</v>
      </c>
      <c r="N3" s="4">
        <f t="shared" si="1"/>
        <v>10</v>
      </c>
      <c r="O3" s="4">
        <f t="shared" si="1"/>
        <v>10</v>
      </c>
      <c r="P3" s="4">
        <f t="shared" si="1"/>
        <v>10</v>
      </c>
      <c r="Q3" s="4">
        <f t="shared" si="1"/>
        <v>10</v>
      </c>
      <c r="R3" s="4">
        <f t="shared" si="1"/>
        <v>10</v>
      </c>
      <c r="S3" s="4">
        <f t="shared" si="1"/>
        <v>10</v>
      </c>
      <c r="T3" s="4">
        <f t="shared" si="1"/>
        <v>10</v>
      </c>
      <c r="U3" s="3">
        <v>11</v>
      </c>
      <c r="W3" s="10" t="s">
        <v>10</v>
      </c>
      <c r="X3" s="15">
        <f>F14</f>
        <v>0</v>
      </c>
      <c r="Y3" s="15">
        <f t="shared" ref="Y3:AL3" si="2">G14</f>
        <v>0.2</v>
      </c>
      <c r="Z3" s="15">
        <f t="shared" si="2"/>
        <v>0.4</v>
      </c>
      <c r="AA3" s="15">
        <f t="shared" si="2"/>
        <v>0.6</v>
      </c>
      <c r="AB3" s="15">
        <f t="shared" si="2"/>
        <v>0.8</v>
      </c>
      <c r="AC3" s="15">
        <f t="shared" si="2"/>
        <v>1</v>
      </c>
      <c r="AD3" s="15">
        <f t="shared" si="2"/>
        <v>1.2</v>
      </c>
      <c r="AE3" s="15">
        <f t="shared" si="2"/>
        <v>1.4</v>
      </c>
      <c r="AF3" s="15">
        <f t="shared" si="2"/>
        <v>1.6</v>
      </c>
      <c r="AG3" s="15">
        <f t="shared" si="2"/>
        <v>1.8</v>
      </c>
      <c r="AH3" s="15">
        <f t="shared" si="2"/>
        <v>2</v>
      </c>
      <c r="AI3" s="15">
        <f t="shared" si="2"/>
        <v>2.2000000000000002</v>
      </c>
      <c r="AJ3" s="15">
        <f t="shared" si="2"/>
        <v>2.4</v>
      </c>
      <c r="AK3" s="15">
        <f t="shared" si="2"/>
        <v>2.6</v>
      </c>
      <c r="AL3" s="15">
        <f t="shared" si="2"/>
        <v>2.8</v>
      </c>
    </row>
    <row r="4" spans="1:38" x14ac:dyDescent="0.25">
      <c r="A4" s="1" t="s">
        <v>1</v>
      </c>
      <c r="B4" s="1">
        <v>10</v>
      </c>
      <c r="E4" s="3">
        <v>1.8</v>
      </c>
      <c r="F4" s="4">
        <f t="shared" si="0"/>
        <v>8</v>
      </c>
      <c r="G4" s="7">
        <f>(F20+H20+G19+G21)/4</f>
        <v>8.0283422283862702</v>
      </c>
      <c r="H4" s="7">
        <f t="shared" ref="H4:S4" si="3">(G20+I20+H19+H21)/4</f>
        <v>8.0648630019053122</v>
      </c>
      <c r="I4" s="7">
        <f t="shared" si="3"/>
        <v>8.1180645232747359</v>
      </c>
      <c r="J4" s="7">
        <f t="shared" si="3"/>
        <v>8.1952045500041741</v>
      </c>
      <c r="K4" s="7">
        <f t="shared" si="3"/>
        <v>8.2968694649660328</v>
      </c>
      <c r="L4" s="7">
        <f t="shared" si="3"/>
        <v>8.410268092753892</v>
      </c>
      <c r="M4" s="7">
        <f t="shared" si="3"/>
        <v>8.5221219735928102</v>
      </c>
      <c r="N4" s="7">
        <f t="shared" si="3"/>
        <v>8.6241598782088698</v>
      </c>
      <c r="O4" s="7">
        <f t="shared" si="3"/>
        <v>8.7129752026211253</v>
      </c>
      <c r="P4" s="7">
        <f t="shared" si="3"/>
        <v>8.7883992462320712</v>
      </c>
      <c r="Q4" s="7">
        <f t="shared" si="3"/>
        <v>8.852083319821622</v>
      </c>
      <c r="R4" s="7">
        <f t="shared" si="3"/>
        <v>8.9065854062609038</v>
      </c>
      <c r="S4" s="7">
        <f t="shared" si="3"/>
        <v>8.9548591229637982</v>
      </c>
      <c r="T4" s="4">
        <f t="shared" ref="T4:T11" si="4">T5+$B$2*$B$6</f>
        <v>9</v>
      </c>
      <c r="U4" s="3">
        <v>10</v>
      </c>
      <c r="W4" s="10" t="s">
        <v>15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0.8</v>
      </c>
      <c r="AD4" s="11">
        <v>0.6</v>
      </c>
      <c r="AE4" s="11">
        <v>0.4</v>
      </c>
      <c r="AF4" s="11">
        <v>0.2</v>
      </c>
      <c r="AG4" s="11">
        <v>0</v>
      </c>
      <c r="AH4" s="11">
        <v>0</v>
      </c>
      <c r="AI4" s="11">
        <v>0</v>
      </c>
      <c r="AJ4" s="11">
        <v>0</v>
      </c>
      <c r="AK4" s="11">
        <v>0</v>
      </c>
      <c r="AL4" s="11">
        <v>0</v>
      </c>
    </row>
    <row r="5" spans="1:38" x14ac:dyDescent="0.25">
      <c r="A5" s="1" t="s">
        <v>2</v>
      </c>
      <c r="B5" s="1">
        <v>101325</v>
      </c>
      <c r="E5" s="3">
        <v>1.6</v>
      </c>
      <c r="F5" s="4">
        <f t="shared" si="0"/>
        <v>6</v>
      </c>
      <c r="G5" s="7">
        <f t="shared" ref="G5:S9" si="5">(F21+H21+G20+G22)/4</f>
        <v>6.0485064356769564</v>
      </c>
      <c r="H5" s="7">
        <f t="shared" si="5"/>
        <v>6.1130464132949616</v>
      </c>
      <c r="I5" s="7">
        <f t="shared" si="5"/>
        <v>6.2121923789613565</v>
      </c>
      <c r="J5" s="7">
        <f t="shared" si="5"/>
        <v>6.3658870465347182</v>
      </c>
      <c r="K5" s="7">
        <f t="shared" si="5"/>
        <v>6.5820090047750259</v>
      </c>
      <c r="L5" s="7">
        <f t="shared" si="5"/>
        <v>6.8220860064738318</v>
      </c>
      <c r="M5" s="7">
        <f t="shared" si="5"/>
        <v>7.0540657958639059</v>
      </c>
      <c r="N5" s="7">
        <f t="shared" si="5"/>
        <v>7.2615491268546037</v>
      </c>
      <c r="O5" s="7">
        <f t="shared" si="5"/>
        <v>7.439348440630785</v>
      </c>
      <c r="P5" s="7">
        <f t="shared" si="5"/>
        <v>7.5885450997191226</v>
      </c>
      <c r="Q5" s="7">
        <f t="shared" si="5"/>
        <v>7.7133540799866314</v>
      </c>
      <c r="R5" s="7">
        <f t="shared" si="5"/>
        <v>7.8194033061137755</v>
      </c>
      <c r="S5" s="7">
        <f t="shared" si="5"/>
        <v>7.9128531813248575</v>
      </c>
      <c r="T5" s="4">
        <f t="shared" si="4"/>
        <v>8</v>
      </c>
      <c r="U5" s="3">
        <v>9</v>
      </c>
      <c r="W5" s="12" t="s">
        <v>16</v>
      </c>
      <c r="X5" s="13">
        <f>F8</f>
        <v>0</v>
      </c>
      <c r="Y5" s="13">
        <f t="shared" ref="Y5:AB5" si="6">G8</f>
        <v>0</v>
      </c>
      <c r="Z5" s="13">
        <f t="shared" si="6"/>
        <v>0</v>
      </c>
      <c r="AA5" s="13">
        <f>I8</f>
        <v>0</v>
      </c>
      <c r="AB5" s="13">
        <f t="shared" si="6"/>
        <v>0</v>
      </c>
      <c r="AC5" s="13">
        <f>K9</f>
        <v>0</v>
      </c>
      <c r="AD5" s="13">
        <f>L10</f>
        <v>0</v>
      </c>
      <c r="AE5" s="13">
        <f>M11</f>
        <v>0</v>
      </c>
      <c r="AF5" s="13">
        <f>N12</f>
        <v>0</v>
      </c>
      <c r="AG5" s="13">
        <f>O13</f>
        <v>0</v>
      </c>
      <c r="AH5" s="13">
        <f t="shared" ref="AH5:AL5" si="7">P13</f>
        <v>0</v>
      </c>
      <c r="AI5" s="13">
        <f t="shared" si="7"/>
        <v>0</v>
      </c>
      <c r="AJ5" s="13">
        <f t="shared" si="7"/>
        <v>0</v>
      </c>
      <c r="AK5" s="13">
        <f t="shared" si="7"/>
        <v>0</v>
      </c>
      <c r="AL5" s="13">
        <f t="shared" si="7"/>
        <v>0</v>
      </c>
    </row>
    <row r="6" spans="1:38" x14ac:dyDescent="0.25">
      <c r="A6" s="1" t="s">
        <v>3</v>
      </c>
      <c r="B6" s="1">
        <f>(E3-E8)*B4/(E3-E13)</f>
        <v>5</v>
      </c>
      <c r="E6" s="3">
        <v>1.4</v>
      </c>
      <c r="F6" s="4">
        <f t="shared" si="0"/>
        <v>4</v>
      </c>
      <c r="G6" s="7">
        <f t="shared" si="5"/>
        <v>4.0526379984772287</v>
      </c>
      <c r="H6" s="7">
        <f t="shared" si="5"/>
        <v>4.1266256921633273</v>
      </c>
      <c r="I6" s="7">
        <f t="shared" si="5"/>
        <v>4.2517747466797911</v>
      </c>
      <c r="J6" s="7">
        <f t="shared" si="5"/>
        <v>4.4741469568460595</v>
      </c>
      <c r="K6" s="7">
        <f t="shared" si="5"/>
        <v>4.8432004440757348</v>
      </c>
      <c r="L6" s="7">
        <f t="shared" si="5"/>
        <v>5.2420099621578364</v>
      </c>
      <c r="M6" s="7">
        <f t="shared" si="5"/>
        <v>5.6105172386246007</v>
      </c>
      <c r="N6" s="7">
        <f t="shared" si="5"/>
        <v>5.9286345093767299</v>
      </c>
      <c r="O6" s="7">
        <f t="shared" si="5"/>
        <v>6.1943373911205537</v>
      </c>
      <c r="P6" s="7">
        <f t="shared" si="5"/>
        <v>6.4130906104286423</v>
      </c>
      <c r="Q6" s="7">
        <f t="shared" si="5"/>
        <v>6.5933952156023992</v>
      </c>
      <c r="R6" s="7">
        <f t="shared" si="5"/>
        <v>6.7448280353564538</v>
      </c>
      <c r="S6" s="7">
        <f t="shared" si="5"/>
        <v>6.8771543898923593</v>
      </c>
      <c r="T6" s="4">
        <f t="shared" si="4"/>
        <v>7</v>
      </c>
      <c r="U6" s="3">
        <v>8</v>
      </c>
      <c r="W6" s="12" t="s">
        <v>11</v>
      </c>
      <c r="X6" s="13">
        <f>F39</f>
        <v>10</v>
      </c>
      <c r="Y6" s="13">
        <f t="shared" ref="Y6:AA6" si="8">G39</f>
        <v>10.177103784102091</v>
      </c>
      <c r="Z6" s="13">
        <f t="shared" si="8"/>
        <v>10.445228085633973</v>
      </c>
      <c r="AA6" s="13">
        <f t="shared" si="8"/>
        <v>10.970686363111994</v>
      </c>
      <c r="AB6" s="13">
        <f>J39</f>
        <v>12.178655224616088</v>
      </c>
      <c r="AC6" s="13">
        <f>K40</f>
        <v>6.6370183806299288</v>
      </c>
      <c r="AD6" s="13">
        <f>L41</f>
        <v>5.0083425879971175</v>
      </c>
      <c r="AE6" s="13">
        <f>M42</f>
        <v>3.9930421107190339</v>
      </c>
      <c r="AF6" s="13">
        <f>N43</f>
        <v>3.1415960948532762</v>
      </c>
      <c r="AG6" s="13">
        <f>O29</f>
        <v>0</v>
      </c>
      <c r="AH6" s="13">
        <f t="shared" ref="AH6:AL6" si="9">P29</f>
        <v>0</v>
      </c>
      <c r="AI6" s="13">
        <f t="shared" si="9"/>
        <v>0</v>
      </c>
      <c r="AJ6" s="13">
        <f t="shared" si="9"/>
        <v>0</v>
      </c>
      <c r="AK6" s="13">
        <f t="shared" si="9"/>
        <v>0</v>
      </c>
      <c r="AL6" s="13">
        <f t="shared" si="9"/>
        <v>0</v>
      </c>
    </row>
    <row r="7" spans="1:38" x14ac:dyDescent="0.25">
      <c r="E7" s="3">
        <v>1.2</v>
      </c>
      <c r="F7" s="4">
        <f t="shared" si="0"/>
        <v>2</v>
      </c>
      <c r="G7" s="7">
        <f t="shared" si="5"/>
        <v>2.0354207568204181</v>
      </c>
      <c r="H7" s="7">
        <f t="shared" si="5"/>
        <v>2.0890456171267946</v>
      </c>
      <c r="I7" s="7">
        <f t="shared" si="5"/>
        <v>2.1941372726223989</v>
      </c>
      <c r="J7" s="7">
        <f t="shared" si="5"/>
        <v>2.4357310449232177</v>
      </c>
      <c r="K7" s="7">
        <f t="shared" si="5"/>
        <v>3.0746438309402793</v>
      </c>
      <c r="L7" s="7">
        <f t="shared" si="5"/>
        <v>3.6922476021356641</v>
      </c>
      <c r="M7" s="7">
        <f t="shared" si="5"/>
        <v>4.2173725431328082</v>
      </c>
      <c r="N7" s="7">
        <f t="shared" si="5"/>
        <v>4.6481507811514469</v>
      </c>
      <c r="O7" s="7">
        <f t="shared" si="5"/>
        <v>4.996292737186085</v>
      </c>
      <c r="P7" s="7">
        <f t="shared" si="5"/>
        <v>5.2761013871868663</v>
      </c>
      <c r="Q7" s="7">
        <f t="shared" si="5"/>
        <v>5.5023219307962279</v>
      </c>
      <c r="R7" s="7">
        <f t="shared" si="5"/>
        <v>5.6893697146696915</v>
      </c>
      <c r="S7" s="7">
        <f t="shared" si="5"/>
        <v>5.8509416860878769</v>
      </c>
      <c r="T7" s="4">
        <f t="shared" si="4"/>
        <v>6</v>
      </c>
      <c r="U7" s="3">
        <v>7</v>
      </c>
      <c r="W7" s="12" t="s">
        <v>12</v>
      </c>
      <c r="X7" s="13">
        <f>F54</f>
        <v>0</v>
      </c>
      <c r="Y7" s="13">
        <f t="shared" ref="Y7:AB7" si="10">G54</f>
        <v>0</v>
      </c>
      <c r="Z7" s="13">
        <f t="shared" si="10"/>
        <v>0</v>
      </c>
      <c r="AA7" s="13">
        <f t="shared" si="10"/>
        <v>0</v>
      </c>
      <c r="AB7" s="13">
        <f t="shared" si="10"/>
        <v>-3.3185091903149644</v>
      </c>
      <c r="AC7" s="13">
        <f>K55</f>
        <v>-5.0083425879971175</v>
      </c>
      <c r="AD7" s="13">
        <f>L56</f>
        <v>-3.9930421107190339</v>
      </c>
      <c r="AE7" s="13">
        <f>M57</f>
        <v>-3.1415960948532762</v>
      </c>
      <c r="AF7" s="13">
        <f>N58</f>
        <v>-2.1831608886071652</v>
      </c>
      <c r="AG7" s="13">
        <f>O59</f>
        <v>0</v>
      </c>
      <c r="AH7" s="13">
        <f t="shared" ref="AH7:AL7" si="11">P59</f>
        <v>0</v>
      </c>
      <c r="AI7" s="13">
        <f t="shared" si="11"/>
        <v>0</v>
      </c>
      <c r="AJ7" s="13">
        <f t="shared" si="11"/>
        <v>0</v>
      </c>
      <c r="AK7" s="13">
        <f t="shared" si="11"/>
        <v>0</v>
      </c>
      <c r="AL7" s="13">
        <f t="shared" si="11"/>
        <v>0</v>
      </c>
    </row>
    <row r="8" spans="1:38" x14ac:dyDescent="0.25">
      <c r="A8" s="1" t="s">
        <v>9</v>
      </c>
      <c r="B8" s="1">
        <v>100</v>
      </c>
      <c r="C8" s="2">
        <v>100</v>
      </c>
      <c r="E8" s="3">
        <v>1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7">
        <f t="shared" si="5"/>
        <v>1.3274036761259858</v>
      </c>
      <c r="L8" s="7">
        <f t="shared" si="5"/>
        <v>2.2349751054728206</v>
      </c>
      <c r="M8" s="7">
        <f t="shared" si="5"/>
        <v>2.9185897761644393</v>
      </c>
      <c r="N8" s="7">
        <f t="shared" ref="N8:S8" si="12">(M24+O24+N23+N25)/4</f>
        <v>3.4503207562050595</v>
      </c>
      <c r="O8" s="7">
        <f t="shared" si="12"/>
        <v>3.8666007912792</v>
      </c>
      <c r="P8" s="7">
        <f t="shared" si="12"/>
        <v>4.1927184444772063</v>
      </c>
      <c r="Q8" s="7">
        <f t="shared" si="12"/>
        <v>4.4504377356357168</v>
      </c>
      <c r="R8" s="7">
        <f t="shared" si="12"/>
        <v>4.6593987975845303</v>
      </c>
      <c r="S8" s="7">
        <f t="shared" si="12"/>
        <v>4.8372490123794618</v>
      </c>
      <c r="T8" s="4">
        <f t="shared" si="4"/>
        <v>5</v>
      </c>
      <c r="U8" s="3">
        <v>6</v>
      </c>
      <c r="W8" s="12" t="s">
        <v>17</v>
      </c>
      <c r="X8" s="13">
        <f>F69</f>
        <v>10</v>
      </c>
      <c r="Y8" s="13">
        <f t="shared" ref="Y8:AB8" si="13">G69</f>
        <v>10.177103784102091</v>
      </c>
      <c r="Z8" s="13">
        <f t="shared" si="13"/>
        <v>10.445228085633973</v>
      </c>
      <c r="AA8" s="13">
        <f t="shared" si="13"/>
        <v>10.970686363111994</v>
      </c>
      <c r="AB8" s="13">
        <f t="shared" si="13"/>
        <v>12.62268380045518</v>
      </c>
      <c r="AC8" s="13">
        <f>K70</f>
        <v>8.3146562444616556</v>
      </c>
      <c r="AD8" s="13">
        <f>L71</f>
        <v>6.4053009903298985</v>
      </c>
      <c r="AE8" s="13">
        <f>M72</f>
        <v>5.080749090554745</v>
      </c>
      <c r="AF8" s="13">
        <f>N73</f>
        <v>3.8256786964852894</v>
      </c>
      <c r="AG8" s="13">
        <f>O74</f>
        <v>2.1831608886071652</v>
      </c>
      <c r="AH8" s="13">
        <f t="shared" ref="AH8:AL8" si="14">P74</f>
        <v>3.2799266771214564</v>
      </c>
      <c r="AI8" s="13">
        <f t="shared" si="14"/>
        <v>3.930669376953678</v>
      </c>
      <c r="AJ8" s="13">
        <f t="shared" si="14"/>
        <v>4.3712517808378397</v>
      </c>
      <c r="AK8" s="13">
        <f t="shared" si="14"/>
        <v>4.7077235159426989</v>
      </c>
      <c r="AL8" s="13">
        <f t="shared" si="14"/>
        <v>5</v>
      </c>
    </row>
    <row r="9" spans="1:38" x14ac:dyDescent="0.25">
      <c r="E9" s="3">
        <v>0.8</v>
      </c>
      <c r="F9" s="5"/>
      <c r="G9" s="5"/>
      <c r="H9" s="5"/>
      <c r="I9" s="5"/>
      <c r="J9" s="5"/>
      <c r="K9" s="4">
        <v>0</v>
      </c>
      <c r="L9" s="7">
        <f t="shared" si="5"/>
        <v>1.0016685175994235</v>
      </c>
      <c r="M9" s="7">
        <f t="shared" si="5"/>
        <v>1.7717038714585791</v>
      </c>
      <c r="N9" s="7">
        <f t="shared" ref="N9:S9" si="15">(M25+O25+N24+N26)/4</f>
        <v>2.3679588586885623</v>
      </c>
      <c r="O9" s="7">
        <f t="shared" si="15"/>
        <v>2.8270895998410759</v>
      </c>
      <c r="P9" s="7">
        <f t="shared" si="15"/>
        <v>3.1777527422297784</v>
      </c>
      <c r="Q9" s="7">
        <f t="shared" si="15"/>
        <v>3.4473277167036573</v>
      </c>
      <c r="R9" s="7">
        <f t="shared" si="15"/>
        <v>3.660550990112232</v>
      </c>
      <c r="S9" s="7">
        <f t="shared" si="15"/>
        <v>3.8386618533275696</v>
      </c>
      <c r="T9" s="4">
        <f t="shared" si="4"/>
        <v>4</v>
      </c>
      <c r="U9" s="3">
        <v>5</v>
      </c>
      <c r="W9" s="12" t="s">
        <v>18</v>
      </c>
      <c r="X9" s="13">
        <f>B5</f>
        <v>101325</v>
      </c>
      <c r="Y9" s="11">
        <f>(X9+(X8^2)/2)-(Y8^2)/2</f>
        <v>101323.21327928381</v>
      </c>
      <c r="Z9" s="11">
        <f>(Y9+(Y8^2)/2)-(Z8^2)/2</f>
        <v>101320.44860511954</v>
      </c>
      <c r="AA9" s="11">
        <f t="shared" ref="AA9:AL9" si="16">(Z9+(Z8^2)/2)-(AA8^2)/2</f>
        <v>101314.82202036111</v>
      </c>
      <c r="AB9" s="11">
        <f t="shared" si="16"/>
        <v>101295.33392683686</v>
      </c>
      <c r="AC9" s="11">
        <f t="shared" si="16"/>
        <v>101340.43324576822</v>
      </c>
      <c r="AD9" s="11">
        <f t="shared" si="16"/>
        <v>101354.48605961163</v>
      </c>
      <c r="AE9" s="11">
        <f t="shared" si="16"/>
        <v>101362.09299433941</v>
      </c>
      <c r="AF9" s="11">
        <f t="shared" si="16"/>
        <v>101367.68209125563</v>
      </c>
      <c r="AG9" s="11">
        <f t="shared" si="16"/>
        <v>101372.61690426723</v>
      </c>
      <c r="AH9" s="11">
        <f t="shared" si="16"/>
        <v>101369.62104049635</v>
      </c>
      <c r="AI9" s="11">
        <f t="shared" si="16"/>
        <v>101367.27491912454</v>
      </c>
      <c r="AJ9" s="11">
        <f t="shared" si="16"/>
        <v>101365.44607893426</v>
      </c>
      <c r="AK9" s="11">
        <f t="shared" si="16"/>
        <v>101363.91866964872</v>
      </c>
      <c r="AL9" s="11">
        <f t="shared" si="16"/>
        <v>101362.5</v>
      </c>
    </row>
    <row r="10" spans="1:38" x14ac:dyDescent="0.25">
      <c r="A10" s="1" t="s">
        <v>4</v>
      </c>
      <c r="B10" s="1">
        <v>15</v>
      </c>
      <c r="E10" s="3">
        <v>0.6</v>
      </c>
      <c r="F10" s="5"/>
      <c r="G10" s="5"/>
      <c r="H10" s="5"/>
      <c r="I10" s="5"/>
      <c r="J10" s="5"/>
      <c r="K10" s="5"/>
      <c r="L10" s="4">
        <v>0</v>
      </c>
      <c r="M10" s="7">
        <f t="shared" ref="M10:S10" si="17">(L26+N26+M25+M27)/4</f>
        <v>0.79860842214380678</v>
      </c>
      <c r="N10" s="7">
        <f t="shared" si="17"/>
        <v>1.4227348549114096</v>
      </c>
      <c r="O10" s="7">
        <f t="shared" si="17"/>
        <v>1.8960625846692265</v>
      </c>
      <c r="P10" s="7">
        <f t="shared" si="17"/>
        <v>2.2438915074310861</v>
      </c>
      <c r="Q10" s="7">
        <f t="shared" si="17"/>
        <v>2.5005844575804295</v>
      </c>
      <c r="R10" s="7">
        <f t="shared" si="17"/>
        <v>2.6968264517999554</v>
      </c>
      <c r="S10" s="7">
        <f t="shared" si="17"/>
        <v>2.8568534294934613</v>
      </c>
      <c r="T10" s="4">
        <f t="shared" si="4"/>
        <v>3</v>
      </c>
      <c r="U10" s="3">
        <v>4</v>
      </c>
      <c r="W10" s="12" t="s">
        <v>19</v>
      </c>
      <c r="X10" s="14">
        <f>(X9-$B$5)/(($B$4^2)/2)</f>
        <v>0</v>
      </c>
      <c r="Y10" s="14">
        <f>(Y9-$B$5)/(($B$4^2)/2)</f>
        <v>-3.5734414323815147E-2</v>
      </c>
      <c r="Z10" s="14">
        <f t="shared" ref="Z10:AL10" si="18">(Z9-$B$5)/(($B$4^2)/2)</f>
        <v>-9.1027897609164937E-2</v>
      </c>
      <c r="AA10" s="14">
        <f t="shared" si="18"/>
        <v>-0.20355959277774674</v>
      </c>
      <c r="AB10" s="14">
        <f t="shared" si="18"/>
        <v>-0.59332146326283697</v>
      </c>
      <c r="AC10" s="14">
        <f t="shared" si="18"/>
        <v>0.30866491536435203</v>
      </c>
      <c r="AD10" s="14">
        <f t="shared" si="18"/>
        <v>0.58972119223268238</v>
      </c>
      <c r="AE10" s="14">
        <f t="shared" si="18"/>
        <v>0.7418598867882974</v>
      </c>
      <c r="AF10" s="14">
        <f t="shared" si="18"/>
        <v>0.85364182511257236</v>
      </c>
      <c r="AG10" s="14">
        <f t="shared" si="18"/>
        <v>0.95233808534452691</v>
      </c>
      <c r="AH10" s="14">
        <f t="shared" si="18"/>
        <v>0.89242080992698902</v>
      </c>
      <c r="AI10" s="14">
        <f t="shared" si="18"/>
        <v>0.84549838249076859</v>
      </c>
      <c r="AJ10" s="14">
        <f t="shared" si="18"/>
        <v>0.80892157868511272</v>
      </c>
      <c r="AK10" s="14">
        <f t="shared" si="18"/>
        <v>0.77837339297431751</v>
      </c>
      <c r="AL10" s="14">
        <f t="shared" si="18"/>
        <v>0.75</v>
      </c>
    </row>
    <row r="11" spans="1:38" x14ac:dyDescent="0.25">
      <c r="A11" s="1" t="s">
        <v>5</v>
      </c>
      <c r="B11" s="1">
        <v>11</v>
      </c>
      <c r="E11" s="3">
        <v>0.4</v>
      </c>
      <c r="F11" s="5"/>
      <c r="G11" s="5"/>
      <c r="H11" s="5"/>
      <c r="I11" s="5"/>
      <c r="J11" s="5"/>
      <c r="K11" s="5"/>
      <c r="L11" s="5"/>
      <c r="M11" s="4">
        <v>0</v>
      </c>
      <c r="N11" s="7">
        <f t="shared" ref="N11:S12" si="19">(M27+O27+N26+N28)/4</f>
        <v>0.62831921897065524</v>
      </c>
      <c r="O11" s="7">
        <f t="shared" si="19"/>
        <v>1.0905464653973052</v>
      </c>
      <c r="P11" s="7">
        <f t="shared" si="19"/>
        <v>1.4011796423503329</v>
      </c>
      <c r="Q11" s="7">
        <f t="shared" si="19"/>
        <v>1.6143039231916181</v>
      </c>
      <c r="R11" s="7">
        <f t="shared" si="19"/>
        <v>1.7693261690215065</v>
      </c>
      <c r="S11" s="7">
        <f t="shared" si="19"/>
        <v>1.8919301985566892</v>
      </c>
      <c r="T11" s="4">
        <f t="shared" si="4"/>
        <v>2</v>
      </c>
      <c r="U11" s="3">
        <v>3</v>
      </c>
    </row>
    <row r="12" spans="1:38" x14ac:dyDescent="0.25">
      <c r="A12" s="1" t="s">
        <v>6</v>
      </c>
      <c r="B12" s="1">
        <v>15</v>
      </c>
      <c r="E12" s="3">
        <v>0.2</v>
      </c>
      <c r="F12" s="5"/>
      <c r="G12" s="5"/>
      <c r="H12" s="5"/>
      <c r="I12" s="5"/>
      <c r="J12" s="5"/>
      <c r="K12" s="5"/>
      <c r="L12" s="5"/>
      <c r="M12" s="5"/>
      <c r="N12" s="4">
        <v>0</v>
      </c>
      <c r="O12" s="7">
        <f t="shared" si="19"/>
        <v>0.43663217772143309</v>
      </c>
      <c r="P12" s="7">
        <f t="shared" si="19"/>
        <v>0.65598533542429127</v>
      </c>
      <c r="Q12" s="7">
        <f t="shared" si="19"/>
        <v>0.78613387539073565</v>
      </c>
      <c r="R12" s="7">
        <f t="shared" si="19"/>
        <v>0.87425035616756808</v>
      </c>
      <c r="S12" s="7">
        <f t="shared" si="19"/>
        <v>0.94154470318853978</v>
      </c>
      <c r="T12" s="4">
        <f>T13+$B$2*$B$6</f>
        <v>1</v>
      </c>
      <c r="U12" s="3">
        <v>2</v>
      </c>
      <c r="W12" s="8" t="s">
        <v>20</v>
      </c>
      <c r="X12" s="9">
        <v>1</v>
      </c>
      <c r="Y12" s="9">
        <v>2</v>
      </c>
      <c r="Z12" s="9">
        <v>3</v>
      </c>
      <c r="AA12" s="9">
        <v>4</v>
      </c>
      <c r="AB12" s="9">
        <v>5</v>
      </c>
      <c r="AC12" s="9">
        <v>6</v>
      </c>
      <c r="AD12" s="9">
        <v>7</v>
      </c>
      <c r="AE12" s="9">
        <v>8</v>
      </c>
      <c r="AF12" s="9">
        <v>9</v>
      </c>
      <c r="AG12" s="9">
        <v>10</v>
      </c>
      <c r="AH12" s="9">
        <v>11</v>
      </c>
      <c r="AI12" s="9">
        <v>12</v>
      </c>
      <c r="AJ12" s="9">
        <v>13</v>
      </c>
      <c r="AK12" s="9">
        <v>14</v>
      </c>
      <c r="AL12" s="9">
        <v>15</v>
      </c>
    </row>
    <row r="13" spans="1:38" x14ac:dyDescent="0.25">
      <c r="A13" s="1" t="s">
        <v>7</v>
      </c>
      <c r="B13" s="1">
        <v>6</v>
      </c>
      <c r="E13" s="3">
        <v>0</v>
      </c>
      <c r="F13" s="5"/>
      <c r="G13" s="5"/>
      <c r="H13" s="5"/>
      <c r="I13" s="5"/>
      <c r="J13" s="5"/>
      <c r="K13" s="5"/>
      <c r="L13" s="5"/>
      <c r="M13" s="5"/>
      <c r="N13" s="5"/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3">
        <v>1</v>
      </c>
      <c r="W13" s="10" t="s">
        <v>10</v>
      </c>
      <c r="X13" s="15">
        <f>F14</f>
        <v>0</v>
      </c>
      <c r="Y13" s="15">
        <f t="shared" ref="Y13:AL13" si="20">G14</f>
        <v>0.2</v>
      </c>
      <c r="Z13" s="15">
        <f t="shared" si="20"/>
        <v>0.4</v>
      </c>
      <c r="AA13" s="15">
        <f t="shared" si="20"/>
        <v>0.6</v>
      </c>
      <c r="AB13" s="15">
        <f t="shared" si="20"/>
        <v>0.8</v>
      </c>
      <c r="AC13" s="15">
        <f t="shared" si="20"/>
        <v>1</v>
      </c>
      <c r="AD13" s="15">
        <f t="shared" si="20"/>
        <v>1.2</v>
      </c>
      <c r="AE13" s="15">
        <f t="shared" si="20"/>
        <v>1.4</v>
      </c>
      <c r="AF13" s="15">
        <f t="shared" si="20"/>
        <v>1.6</v>
      </c>
      <c r="AG13" s="15">
        <f t="shared" si="20"/>
        <v>1.8</v>
      </c>
      <c r="AH13" s="15">
        <f t="shared" si="20"/>
        <v>2</v>
      </c>
      <c r="AI13" s="15">
        <f t="shared" si="20"/>
        <v>2.2000000000000002</v>
      </c>
      <c r="AJ13" s="15">
        <f t="shared" si="20"/>
        <v>2.4</v>
      </c>
      <c r="AK13" s="15">
        <f t="shared" si="20"/>
        <v>2.6</v>
      </c>
      <c r="AL13" s="15">
        <f t="shared" si="20"/>
        <v>2.8</v>
      </c>
    </row>
    <row r="14" spans="1:38" x14ac:dyDescent="0.25">
      <c r="A14" s="1" t="s">
        <v>8</v>
      </c>
      <c r="B14" s="1">
        <v>0</v>
      </c>
      <c r="E14" s="3"/>
      <c r="F14" s="3">
        <v>0</v>
      </c>
      <c r="G14" s="3">
        <v>0.2</v>
      </c>
      <c r="H14" s="3">
        <v>0.4</v>
      </c>
      <c r="I14" s="3">
        <v>0.6</v>
      </c>
      <c r="J14" s="3">
        <v>0.8</v>
      </c>
      <c r="K14" s="3">
        <v>1</v>
      </c>
      <c r="L14" s="3">
        <v>1.2</v>
      </c>
      <c r="M14" s="3">
        <v>1.4</v>
      </c>
      <c r="N14" s="3">
        <v>1.6</v>
      </c>
      <c r="O14" s="3">
        <v>1.8</v>
      </c>
      <c r="P14" s="3">
        <v>2</v>
      </c>
      <c r="Q14" s="3">
        <v>2.2000000000000002</v>
      </c>
      <c r="R14" s="3">
        <v>2.4</v>
      </c>
      <c r="S14" s="3">
        <v>2.6</v>
      </c>
      <c r="T14" s="3">
        <v>2.8</v>
      </c>
      <c r="U14" s="3"/>
      <c r="W14" s="10" t="s">
        <v>15</v>
      </c>
      <c r="X14" s="11">
        <v>2</v>
      </c>
      <c r="Y14" s="11">
        <v>2</v>
      </c>
      <c r="Z14" s="11">
        <v>2</v>
      </c>
      <c r="AA14" s="11">
        <v>2</v>
      </c>
      <c r="AB14" s="11">
        <v>2</v>
      </c>
      <c r="AC14" s="11">
        <v>2</v>
      </c>
      <c r="AD14" s="11">
        <v>2</v>
      </c>
      <c r="AE14" s="11">
        <v>2</v>
      </c>
      <c r="AF14" s="11">
        <v>2</v>
      </c>
      <c r="AG14" s="11">
        <v>2</v>
      </c>
      <c r="AH14" s="11">
        <v>2</v>
      </c>
      <c r="AI14" s="11">
        <v>2</v>
      </c>
      <c r="AJ14" s="11">
        <v>2</v>
      </c>
      <c r="AK14" s="11">
        <v>2</v>
      </c>
      <c r="AL14" s="11">
        <v>2</v>
      </c>
    </row>
    <row r="15" spans="1:38" x14ac:dyDescent="0.25">
      <c r="W15" s="12" t="s">
        <v>16</v>
      </c>
      <c r="X15" s="13">
        <f>F3</f>
        <v>10</v>
      </c>
      <c r="Y15" s="13">
        <f t="shared" ref="Y15:AL15" si="21">G3</f>
        <v>10</v>
      </c>
      <c r="Z15" s="13">
        <f t="shared" si="21"/>
        <v>10</v>
      </c>
      <c r="AA15" s="13">
        <f t="shared" si="21"/>
        <v>10</v>
      </c>
      <c r="AB15" s="13">
        <f t="shared" si="21"/>
        <v>10</v>
      </c>
      <c r="AC15" s="13">
        <f t="shared" si="21"/>
        <v>10</v>
      </c>
      <c r="AD15" s="13">
        <f t="shared" si="21"/>
        <v>10</v>
      </c>
      <c r="AE15" s="13">
        <f t="shared" si="21"/>
        <v>10</v>
      </c>
      <c r="AF15" s="13">
        <f t="shared" si="21"/>
        <v>10</v>
      </c>
      <c r="AG15" s="13">
        <f t="shared" si="21"/>
        <v>10</v>
      </c>
      <c r="AH15" s="13">
        <f t="shared" si="21"/>
        <v>10</v>
      </c>
      <c r="AI15" s="13">
        <f t="shared" si="21"/>
        <v>10</v>
      </c>
      <c r="AJ15" s="13">
        <f t="shared" si="21"/>
        <v>10</v>
      </c>
      <c r="AK15" s="13">
        <f t="shared" si="21"/>
        <v>10</v>
      </c>
      <c r="AL15" s="13">
        <f t="shared" si="21"/>
        <v>10</v>
      </c>
    </row>
    <row r="16" spans="1:38" x14ac:dyDescent="0.25">
      <c r="W16" s="12" t="s">
        <v>11</v>
      </c>
      <c r="X16" s="14">
        <f>F34</f>
        <v>10</v>
      </c>
      <c r="Y16" s="14">
        <f t="shared" ref="Y16:AL16" si="22">G34</f>
        <v>9.858288858068649</v>
      </c>
      <c r="Z16" s="14">
        <f t="shared" si="22"/>
        <v>9.6756849904734388</v>
      </c>
      <c r="AA16" s="14">
        <f t="shared" si="22"/>
        <v>9.4096773836263203</v>
      </c>
      <c r="AB16" s="14">
        <f t="shared" si="22"/>
        <v>9.0239772499791293</v>
      </c>
      <c r="AC16" s="14">
        <f t="shared" si="22"/>
        <v>8.5156526751698358</v>
      </c>
      <c r="AD16" s="14">
        <f t="shared" si="22"/>
        <v>7.9486595362305401</v>
      </c>
      <c r="AE16" s="14">
        <f t="shared" si="22"/>
        <v>7.389390132035949</v>
      </c>
      <c r="AF16" s="14">
        <f t="shared" si="22"/>
        <v>6.8792006089556512</v>
      </c>
      <c r="AG16" s="14">
        <f t="shared" si="22"/>
        <v>6.4351239868943733</v>
      </c>
      <c r="AH16" s="14">
        <f t="shared" si="22"/>
        <v>6.0580037688396438</v>
      </c>
      <c r="AI16" s="14">
        <f t="shared" si="22"/>
        <v>5.73958340089189</v>
      </c>
      <c r="AJ16" s="14">
        <f t="shared" si="22"/>
        <v>5.4670729686954811</v>
      </c>
      <c r="AK16" s="14">
        <f t="shared" si="22"/>
        <v>5.2257043851810092</v>
      </c>
      <c r="AL16" s="14">
        <f t="shared" si="22"/>
        <v>5</v>
      </c>
    </row>
    <row r="17" spans="5:38" x14ac:dyDescent="0.25">
      <c r="W17" s="12" t="s">
        <v>12</v>
      </c>
      <c r="X17" s="14">
        <f>F49</f>
        <v>0</v>
      </c>
      <c r="Y17" s="14">
        <f t="shared" ref="Y17:AL17" si="23">G49</f>
        <v>0</v>
      </c>
      <c r="Z17" s="14">
        <f t="shared" si="23"/>
        <v>0</v>
      </c>
      <c r="AA17" s="14">
        <f t="shared" si="23"/>
        <v>0</v>
      </c>
      <c r="AB17" s="14">
        <f t="shared" si="23"/>
        <v>0</v>
      </c>
      <c r="AC17" s="14">
        <f t="shared" si="23"/>
        <v>0</v>
      </c>
      <c r="AD17" s="14">
        <f t="shared" si="23"/>
        <v>0</v>
      </c>
      <c r="AE17" s="14">
        <f t="shared" si="23"/>
        <v>0</v>
      </c>
      <c r="AF17" s="14">
        <f t="shared" si="23"/>
        <v>0</v>
      </c>
      <c r="AG17" s="14">
        <f t="shared" si="23"/>
        <v>0</v>
      </c>
      <c r="AH17" s="14">
        <f t="shared" si="23"/>
        <v>0</v>
      </c>
      <c r="AI17" s="14">
        <f t="shared" si="23"/>
        <v>0</v>
      </c>
      <c r="AJ17" s="14">
        <f t="shared" si="23"/>
        <v>0</v>
      </c>
      <c r="AK17" s="14">
        <f t="shared" si="23"/>
        <v>0</v>
      </c>
      <c r="AL17" s="14">
        <f t="shared" si="23"/>
        <v>0</v>
      </c>
    </row>
    <row r="18" spans="5:38" x14ac:dyDescent="0.25">
      <c r="E18" s="3"/>
      <c r="F18" s="3">
        <v>1</v>
      </c>
      <c r="G18" s="3">
        <v>2</v>
      </c>
      <c r="H18" s="3">
        <v>3</v>
      </c>
      <c r="I18" s="3">
        <v>4</v>
      </c>
      <c r="J18" s="3">
        <v>5</v>
      </c>
      <c r="K18" s="3">
        <v>6</v>
      </c>
      <c r="L18" s="3">
        <v>7</v>
      </c>
      <c r="M18" s="3">
        <v>8</v>
      </c>
      <c r="N18" s="3">
        <v>9</v>
      </c>
      <c r="O18" s="3">
        <v>10</v>
      </c>
      <c r="P18" s="3">
        <v>11</v>
      </c>
      <c r="Q18" s="3">
        <v>12</v>
      </c>
      <c r="R18" s="3">
        <v>13</v>
      </c>
      <c r="S18" s="3">
        <v>14</v>
      </c>
      <c r="T18" s="3">
        <v>15</v>
      </c>
      <c r="U18" s="3"/>
      <c r="W18" s="12" t="s">
        <v>17</v>
      </c>
      <c r="X18" s="14">
        <f>F64</f>
        <v>10</v>
      </c>
      <c r="Y18" s="14">
        <f t="shared" ref="Y18:AL18" si="24">G64</f>
        <v>9.858288858068649</v>
      </c>
      <c r="Z18" s="14">
        <f t="shared" si="24"/>
        <v>9.6756849904734388</v>
      </c>
      <c r="AA18" s="14">
        <f t="shared" si="24"/>
        <v>9.4096773836263203</v>
      </c>
      <c r="AB18" s="14">
        <f t="shared" si="24"/>
        <v>9.0239772499791293</v>
      </c>
      <c r="AC18" s="14">
        <f t="shared" si="24"/>
        <v>8.5156526751698358</v>
      </c>
      <c r="AD18" s="14">
        <f t="shared" si="24"/>
        <v>7.9486595362305401</v>
      </c>
      <c r="AE18" s="14">
        <f t="shared" si="24"/>
        <v>7.389390132035949</v>
      </c>
      <c r="AF18" s="14">
        <f t="shared" si="24"/>
        <v>6.8792006089556512</v>
      </c>
      <c r="AG18" s="14">
        <f t="shared" si="24"/>
        <v>6.4351239868943733</v>
      </c>
      <c r="AH18" s="14">
        <f t="shared" si="24"/>
        <v>6.0580037688396438</v>
      </c>
      <c r="AI18" s="14">
        <f t="shared" si="24"/>
        <v>5.73958340089189</v>
      </c>
      <c r="AJ18" s="14">
        <f t="shared" si="24"/>
        <v>5.4670729686954811</v>
      </c>
      <c r="AK18" s="14">
        <f t="shared" si="24"/>
        <v>5.2257043851810092</v>
      </c>
      <c r="AL18" s="14">
        <f t="shared" si="24"/>
        <v>5</v>
      </c>
    </row>
    <row r="19" spans="5:38" x14ac:dyDescent="0.25">
      <c r="E19" s="3">
        <v>2</v>
      </c>
      <c r="F19" s="6">
        <v>10</v>
      </c>
      <c r="G19" s="6">
        <v>10</v>
      </c>
      <c r="H19" s="6">
        <v>10</v>
      </c>
      <c r="I19" s="6">
        <v>10</v>
      </c>
      <c r="J19" s="6">
        <v>10</v>
      </c>
      <c r="K19" s="6">
        <v>10</v>
      </c>
      <c r="L19" s="6">
        <v>10</v>
      </c>
      <c r="M19" s="6">
        <v>10</v>
      </c>
      <c r="N19" s="6">
        <v>10</v>
      </c>
      <c r="O19" s="6">
        <v>10</v>
      </c>
      <c r="P19" s="6">
        <v>10</v>
      </c>
      <c r="Q19" s="6">
        <v>10</v>
      </c>
      <c r="R19" s="6">
        <v>10</v>
      </c>
      <c r="S19" s="6">
        <v>10</v>
      </c>
      <c r="T19" s="6">
        <v>10</v>
      </c>
      <c r="U19" s="3">
        <v>11</v>
      </c>
      <c r="W19" s="12" t="s">
        <v>18</v>
      </c>
      <c r="X19" s="13">
        <f>B5</f>
        <v>101325</v>
      </c>
      <c r="Y19" s="11">
        <f>(X19+(X18^2)/2)-(Y18^2)/2</f>
        <v>101326.40707039543</v>
      </c>
      <c r="Z19" s="11">
        <f t="shared" ref="Z19:AF19" si="25">(Y19+(Y18^2)/2)-(Z18^2)/2</f>
        <v>101328.19055998257</v>
      </c>
      <c r="AA19" s="11">
        <f t="shared" si="25"/>
        <v>101330.72898576803</v>
      </c>
      <c r="AB19" s="11">
        <f t="shared" si="25"/>
        <v>101334.28391729594</v>
      </c>
      <c r="AC19" s="11">
        <f t="shared" si="25"/>
        <v>101338.74182975794</v>
      </c>
      <c r="AD19" s="11">
        <f t="shared" si="25"/>
        <v>101343.40940578855</v>
      </c>
      <c r="AE19" s="11">
        <f t="shared" si="25"/>
        <v>101347.69845673829</v>
      </c>
      <c r="AF19" s="11">
        <f t="shared" si="25"/>
        <v>101351.33829949088</v>
      </c>
      <c r="AG19" s="11">
        <f>(AF19+(AF18^2)/2)-(AG18^2)/2</f>
        <v>101354.29458963664</v>
      </c>
      <c r="AH19" s="11">
        <f t="shared" ref="AH19:AL19" si="26">(AG19+(AG18^2)/2)-(AH18^2)/2</f>
        <v>101356.65029516837</v>
      </c>
      <c r="AI19" s="11">
        <f t="shared" si="26"/>
        <v>101358.52859119211</v>
      </c>
      <c r="AJ19" s="11">
        <f t="shared" si="26"/>
        <v>101360.05555657748</v>
      </c>
      <c r="AK19" s="11">
        <f t="shared" si="26"/>
        <v>101361.34600683935</v>
      </c>
      <c r="AL19" s="11">
        <f t="shared" si="26"/>
        <v>101362.5</v>
      </c>
    </row>
    <row r="20" spans="5:38" x14ac:dyDescent="0.25">
      <c r="E20" s="3">
        <v>1.8</v>
      </c>
      <c r="F20" s="6">
        <v>8</v>
      </c>
      <c r="G20" s="6">
        <v>8.0283420845782771</v>
      </c>
      <c r="H20" s="6">
        <v>8.0648627067472916</v>
      </c>
      <c r="I20" s="6">
        <v>8.1180640189476669</v>
      </c>
      <c r="J20" s="6">
        <v>8.1952038270489567</v>
      </c>
      <c r="K20" s="6">
        <v>8.296868425542911</v>
      </c>
      <c r="L20" s="6">
        <v>8.410266798716302</v>
      </c>
      <c r="M20" s="6">
        <v>8.5221203620575423</v>
      </c>
      <c r="N20" s="6">
        <v>8.6241581464820385</v>
      </c>
      <c r="O20" s="6">
        <v>8.712973349009749</v>
      </c>
      <c r="P20" s="6">
        <v>8.7883975535257743</v>
      </c>
      <c r="Q20" s="6">
        <v>8.8520818233427203</v>
      </c>
      <c r="R20" s="6">
        <v>8.9065843545464816</v>
      </c>
      <c r="S20" s="6">
        <v>8.9548585478482767</v>
      </c>
      <c r="T20" s="6">
        <v>9</v>
      </c>
      <c r="U20" s="3">
        <v>10</v>
      </c>
      <c r="W20" s="12" t="s">
        <v>19</v>
      </c>
      <c r="X20" s="14">
        <f>(X19-$B$5)/(($B$4^2)/2)</f>
        <v>0</v>
      </c>
      <c r="Y20" s="14">
        <f>(Y19-$B$5)/(($B$4^2)/2)</f>
        <v>2.8141407908697146E-2</v>
      </c>
      <c r="Z20" s="14">
        <f t="shared" ref="Z20:AL20" si="27">(Z19-$B$5)/(($B$4^2)/2)</f>
        <v>6.3811199651390774E-2</v>
      </c>
      <c r="AA20" s="14">
        <f t="shared" si="27"/>
        <v>0.11457971536059632</v>
      </c>
      <c r="AB20" s="14">
        <f t="shared" si="27"/>
        <v>0.1856783459187136</v>
      </c>
      <c r="AC20" s="14">
        <f t="shared" si="27"/>
        <v>0.27483659515884939</v>
      </c>
      <c r="AD20" s="14">
        <f t="shared" si="27"/>
        <v>0.36818811577104499</v>
      </c>
      <c r="AE20" s="14">
        <f t="shared" si="27"/>
        <v>0.45396913476579359</v>
      </c>
      <c r="AF20" s="14">
        <f t="shared" si="27"/>
        <v>0.52676598981750433</v>
      </c>
      <c r="AG20" s="14">
        <f t="shared" si="27"/>
        <v>0.58589179273287295</v>
      </c>
      <c r="AH20" s="14">
        <f t="shared" si="27"/>
        <v>0.63300590336730234</v>
      </c>
      <c r="AI20" s="14">
        <f t="shared" si="27"/>
        <v>0.67057182384218317</v>
      </c>
      <c r="AJ20" s="14">
        <f t="shared" si="27"/>
        <v>0.7011111315496964</v>
      </c>
      <c r="AK20" s="14">
        <f t="shared" si="27"/>
        <v>0.72692013678693912</v>
      </c>
      <c r="AL20" s="14">
        <f t="shared" si="27"/>
        <v>0.75</v>
      </c>
    </row>
    <row r="21" spans="5:38" x14ac:dyDescent="0.25">
      <c r="E21" s="3">
        <v>1.6</v>
      </c>
      <c r="F21" s="6">
        <v>6</v>
      </c>
      <c r="G21" s="6">
        <v>6.0485062067977866</v>
      </c>
      <c r="H21" s="6">
        <v>6.1130459040953067</v>
      </c>
      <c r="I21" s="6">
        <v>6.2121915593026955</v>
      </c>
      <c r="J21" s="6">
        <v>6.3658857555261186</v>
      </c>
      <c r="K21" s="6">
        <v>6.5820072340988718</v>
      </c>
      <c r="L21" s="6">
        <v>6.8220835834151163</v>
      </c>
      <c r="M21" s="6">
        <v>7.0540629491729021</v>
      </c>
      <c r="N21" s="6">
        <v>7.2615458017681878</v>
      </c>
      <c r="O21" s="6">
        <v>7.439345110476685</v>
      </c>
      <c r="P21" s="6">
        <v>7.5885418125758157</v>
      </c>
      <c r="Q21" s="6">
        <v>7.7133513712142276</v>
      </c>
      <c r="R21" s="6">
        <v>7.8194012538526199</v>
      </c>
      <c r="S21" s="6">
        <v>7.9128521373087111</v>
      </c>
      <c r="T21" s="6">
        <v>8</v>
      </c>
      <c r="U21" s="3">
        <v>9</v>
      </c>
    </row>
    <row r="22" spans="5:38" x14ac:dyDescent="0.25">
      <c r="E22" s="3">
        <v>1.4</v>
      </c>
      <c r="F22" s="6">
        <v>4</v>
      </c>
      <c r="G22" s="6">
        <v>4.0526377540342402</v>
      </c>
      <c r="H22" s="6">
        <v>4.1266251803320726</v>
      </c>
      <c r="I22" s="6">
        <v>4.251773837276331</v>
      </c>
      <c r="J22" s="6">
        <v>4.4741455656883478</v>
      </c>
      <c r="K22" s="6">
        <v>4.843198254615956</v>
      </c>
      <c r="L22" s="6">
        <v>5.2420070439072486</v>
      </c>
      <c r="M22" s="6">
        <v>5.6105134362147755</v>
      </c>
      <c r="N22" s="6">
        <v>5.9286303012867858</v>
      </c>
      <c r="O22" s="6">
        <v>6.1943327991693877</v>
      </c>
      <c r="P22" s="6">
        <v>6.4130863636598043</v>
      </c>
      <c r="Q22" s="6">
        <v>6.5933914301753713</v>
      </c>
      <c r="R22" s="6">
        <v>6.7448253613856846</v>
      </c>
      <c r="S22" s="6">
        <v>6.8771529235985351</v>
      </c>
      <c r="T22" s="6">
        <v>7</v>
      </c>
      <c r="U22" s="3">
        <v>8</v>
      </c>
    </row>
    <row r="23" spans="5:38" x14ac:dyDescent="0.25">
      <c r="E23" s="3">
        <v>1.2</v>
      </c>
      <c r="F23" s="6">
        <v>2</v>
      </c>
      <c r="G23" s="6">
        <v>2.0354206067790548</v>
      </c>
      <c r="H23" s="6">
        <v>2.0890452732474314</v>
      </c>
      <c r="I23" s="6">
        <v>2.1941366813960501</v>
      </c>
      <c r="J23" s="6">
        <v>2.4357299799658323</v>
      </c>
      <c r="K23" s="6">
        <v>3.074641932608472</v>
      </c>
      <c r="L23" s="6">
        <v>3.6922445743854979</v>
      </c>
      <c r="M23" s="6">
        <v>4.2173686601314646</v>
      </c>
      <c r="N23" s="6">
        <v>4.6481460003545676</v>
      </c>
      <c r="O23" s="6">
        <v>4.9962877890589414</v>
      </c>
      <c r="P23" s="6">
        <v>5.276096399793996</v>
      </c>
      <c r="Q23" s="6">
        <v>5.5023177661498801</v>
      </c>
      <c r="R23" s="6">
        <v>5.6893665337992863</v>
      </c>
      <c r="S23" s="6">
        <v>5.8509400608750397</v>
      </c>
      <c r="T23" s="6">
        <v>6</v>
      </c>
      <c r="U23" s="3">
        <v>7</v>
      </c>
    </row>
    <row r="24" spans="5:38" x14ac:dyDescent="0.25">
      <c r="E24" s="3">
        <v>1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1.3274025147938322</v>
      </c>
      <c r="L24" s="6">
        <v>2.2349727718954711</v>
      </c>
      <c r="M24" s="6">
        <v>2.9185861615763899</v>
      </c>
      <c r="N24" s="6">
        <v>3.4503163741285974</v>
      </c>
      <c r="O24" s="6">
        <v>3.8665957494263865</v>
      </c>
      <c r="P24" s="6">
        <v>4.1927136298788374</v>
      </c>
      <c r="Q24" s="6">
        <v>4.450433359416258</v>
      </c>
      <c r="R24" s="6">
        <v>4.6593956702681627</v>
      </c>
      <c r="S24" s="6">
        <v>4.8372472869536818</v>
      </c>
      <c r="T24" s="6">
        <v>5</v>
      </c>
      <c r="U24" s="3">
        <v>6</v>
      </c>
      <c r="V24" s="2" t="s">
        <v>10</v>
      </c>
    </row>
    <row r="25" spans="5:38" x14ac:dyDescent="0.25">
      <c r="E25" s="3">
        <v>0.8</v>
      </c>
      <c r="F25" s="5"/>
      <c r="G25" s="5"/>
      <c r="H25" s="5"/>
      <c r="I25" s="5"/>
      <c r="J25" s="5"/>
      <c r="K25" s="6">
        <v>0</v>
      </c>
      <c r="L25" s="6">
        <v>1.0016671711355616</v>
      </c>
      <c r="M25" s="6">
        <v>1.7717012985022234</v>
      </c>
      <c r="N25" s="6">
        <v>2.3679551134628927</v>
      </c>
      <c r="O25" s="6">
        <v>2.8270853720504241</v>
      </c>
      <c r="P25" s="6">
        <v>3.1777482692721857</v>
      </c>
      <c r="Q25" s="6">
        <v>3.4473238762459903</v>
      </c>
      <c r="R25" s="6">
        <v>3.6605480101688954</v>
      </c>
      <c r="S25" s="6">
        <v>3.8386603183746448</v>
      </c>
      <c r="T25" s="6">
        <v>4</v>
      </c>
      <c r="U25" s="3">
        <v>5</v>
      </c>
    </row>
    <row r="26" spans="5:38" x14ac:dyDescent="0.25">
      <c r="E26" s="3">
        <v>0.6</v>
      </c>
      <c r="F26" s="5"/>
      <c r="G26" s="5"/>
      <c r="H26" s="5"/>
      <c r="I26" s="5"/>
      <c r="J26" s="5"/>
      <c r="K26" s="5"/>
      <c r="L26" s="6">
        <v>0</v>
      </c>
      <c r="M26" s="6">
        <v>0.79860703965947244</v>
      </c>
      <c r="N26" s="6">
        <v>1.4227323900730036</v>
      </c>
      <c r="O26" s="6">
        <v>1.8960592672028382</v>
      </c>
      <c r="P26" s="6">
        <v>2.2438880907438605</v>
      </c>
      <c r="Q26" s="6">
        <v>2.500581227957289</v>
      </c>
      <c r="R26" s="6">
        <v>2.696824095560129</v>
      </c>
      <c r="S26" s="6">
        <v>2.8568521161877021</v>
      </c>
      <c r="T26" s="6">
        <v>3</v>
      </c>
      <c r="U26" s="3">
        <v>4</v>
      </c>
    </row>
    <row r="27" spans="5:38" x14ac:dyDescent="0.25">
      <c r="E27" s="3">
        <v>0.4</v>
      </c>
      <c r="F27" s="5"/>
      <c r="G27" s="5"/>
      <c r="H27" s="5"/>
      <c r="I27" s="5"/>
      <c r="J27" s="5"/>
      <c r="K27" s="5"/>
      <c r="L27" s="5"/>
      <c r="M27" s="6">
        <v>0</v>
      </c>
      <c r="N27" s="6">
        <v>0.62831799932043508</v>
      </c>
      <c r="O27" s="6">
        <v>1.0905444858096176</v>
      </c>
      <c r="P27" s="6">
        <v>1.4011772652920302</v>
      </c>
      <c r="Q27" s="6">
        <v>1.6143017677717379</v>
      </c>
      <c r="R27" s="6">
        <v>1.7693244528859355</v>
      </c>
      <c r="S27" s="6">
        <v>1.8919293040390697</v>
      </c>
      <c r="T27" s="6">
        <v>2</v>
      </c>
      <c r="U27" s="3">
        <v>3</v>
      </c>
    </row>
    <row r="28" spans="5:38" x14ac:dyDescent="0.25">
      <c r="E28" s="3">
        <v>0.2</v>
      </c>
      <c r="F28" s="5"/>
      <c r="G28" s="5"/>
      <c r="H28" s="5"/>
      <c r="I28" s="5"/>
      <c r="J28" s="5"/>
      <c r="K28" s="5"/>
      <c r="L28" s="5"/>
      <c r="M28" s="5"/>
      <c r="N28" s="6">
        <v>0</v>
      </c>
      <c r="O28" s="6">
        <v>0.43663132977391755</v>
      </c>
      <c r="P28" s="6">
        <v>0.65598422507611476</v>
      </c>
      <c r="Q28" s="6">
        <v>0.78613274663121757</v>
      </c>
      <c r="R28" s="6">
        <v>0.87424950871508966</v>
      </c>
      <c r="S28" s="6">
        <v>0.94154422515311942</v>
      </c>
      <c r="T28" s="6">
        <v>1</v>
      </c>
      <c r="U28" s="3">
        <v>2</v>
      </c>
    </row>
    <row r="29" spans="5:38" x14ac:dyDescent="0.25">
      <c r="E29" s="3">
        <v>0</v>
      </c>
      <c r="F29" s="5"/>
      <c r="G29" s="5"/>
      <c r="H29" s="5"/>
      <c r="I29" s="5"/>
      <c r="J29" s="5"/>
      <c r="K29" s="5"/>
      <c r="L29" s="5"/>
      <c r="M29" s="5"/>
      <c r="N29" s="5"/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3">
        <v>1</v>
      </c>
    </row>
    <row r="30" spans="5:38" x14ac:dyDescent="0.25">
      <c r="E30" s="3"/>
      <c r="F30" s="3">
        <v>0</v>
      </c>
      <c r="G30" s="3">
        <v>0.2</v>
      </c>
      <c r="H30" s="3">
        <v>0.4</v>
      </c>
      <c r="I30" s="3">
        <v>0.6</v>
      </c>
      <c r="J30" s="3">
        <v>0.8</v>
      </c>
      <c r="K30" s="3">
        <v>1</v>
      </c>
      <c r="L30" s="3">
        <v>1.2</v>
      </c>
      <c r="M30" s="3">
        <v>1.4</v>
      </c>
      <c r="N30" s="3">
        <v>1.6</v>
      </c>
      <c r="O30" s="3">
        <v>1.8</v>
      </c>
      <c r="P30" s="3">
        <v>2</v>
      </c>
      <c r="Q30" s="3">
        <v>2.2000000000000002</v>
      </c>
      <c r="R30" s="3">
        <v>2.4</v>
      </c>
      <c r="S30" s="3">
        <v>2.6</v>
      </c>
      <c r="T30" s="3">
        <v>2.8</v>
      </c>
      <c r="U30" s="3"/>
    </row>
    <row r="33" spans="5:21" x14ac:dyDescent="0.25">
      <c r="E33" s="3" t="s">
        <v>11</v>
      </c>
      <c r="F33" s="3">
        <v>1</v>
      </c>
      <c r="G33" s="3">
        <v>2</v>
      </c>
      <c r="H33" s="3">
        <v>3</v>
      </c>
      <c r="I33" s="3">
        <v>4</v>
      </c>
      <c r="J33" s="3">
        <v>5</v>
      </c>
      <c r="K33" s="3">
        <v>6</v>
      </c>
      <c r="L33" s="3">
        <v>7</v>
      </c>
      <c r="M33" s="3">
        <v>8</v>
      </c>
      <c r="N33" s="3">
        <v>9</v>
      </c>
      <c r="O33" s="3">
        <v>10</v>
      </c>
      <c r="P33" s="3">
        <v>11</v>
      </c>
      <c r="Q33" s="3">
        <v>12</v>
      </c>
      <c r="R33" s="3">
        <v>13</v>
      </c>
      <c r="S33" s="3">
        <v>14</v>
      </c>
      <c r="T33" s="3">
        <v>15</v>
      </c>
      <c r="U33" s="3"/>
    </row>
    <row r="34" spans="5:21" x14ac:dyDescent="0.25">
      <c r="E34" s="3">
        <v>2</v>
      </c>
      <c r="F34" s="6">
        <f>(F3-F4)/$B$2</f>
        <v>10</v>
      </c>
      <c r="G34" s="6">
        <f t="shared" ref="G34:S34" si="28">(G3-G4)/$B$2</f>
        <v>9.858288858068649</v>
      </c>
      <c r="H34" s="6">
        <f t="shared" si="28"/>
        <v>9.6756849904734388</v>
      </c>
      <c r="I34" s="6">
        <f t="shared" si="28"/>
        <v>9.4096773836263203</v>
      </c>
      <c r="J34" s="6">
        <f t="shared" si="28"/>
        <v>9.0239772499791293</v>
      </c>
      <c r="K34" s="6">
        <f t="shared" si="28"/>
        <v>8.5156526751698358</v>
      </c>
      <c r="L34" s="6">
        <f t="shared" si="28"/>
        <v>7.9486595362305401</v>
      </c>
      <c r="M34" s="6">
        <f t="shared" si="28"/>
        <v>7.389390132035949</v>
      </c>
      <c r="N34" s="6">
        <f t="shared" si="28"/>
        <v>6.8792006089556512</v>
      </c>
      <c r="O34" s="6">
        <f t="shared" si="28"/>
        <v>6.4351239868943733</v>
      </c>
      <c r="P34" s="6">
        <f t="shared" si="28"/>
        <v>6.0580037688396438</v>
      </c>
      <c r="Q34" s="6">
        <f t="shared" si="28"/>
        <v>5.73958340089189</v>
      </c>
      <c r="R34" s="6">
        <f t="shared" si="28"/>
        <v>5.4670729686954811</v>
      </c>
      <c r="S34" s="6">
        <f t="shared" si="28"/>
        <v>5.2257043851810092</v>
      </c>
      <c r="T34" s="6">
        <f>(T3-T4)/$B$2</f>
        <v>5</v>
      </c>
      <c r="U34" s="3">
        <v>11</v>
      </c>
    </row>
    <row r="35" spans="5:21" x14ac:dyDescent="0.25">
      <c r="E35" s="3">
        <v>1.8</v>
      </c>
      <c r="F35" s="6">
        <f>(F3-F5)/(2*$B$2)</f>
        <v>10</v>
      </c>
      <c r="G35" s="6">
        <f>(G3-G5)/(2*$B$2)</f>
        <v>9.8787339108076075</v>
      </c>
      <c r="H35" s="6">
        <f t="shared" ref="H35:S35" si="29">(H3-H5)/(2*$B$2)</f>
        <v>9.7173839667625952</v>
      </c>
      <c r="I35" s="6">
        <f t="shared" si="29"/>
        <v>9.469519052596608</v>
      </c>
      <c r="J35" s="6">
        <f t="shared" si="29"/>
        <v>9.0852823836632037</v>
      </c>
      <c r="K35" s="6">
        <f t="shared" si="29"/>
        <v>8.5449774880624343</v>
      </c>
      <c r="L35" s="6">
        <f t="shared" si="29"/>
        <v>7.9447849838154205</v>
      </c>
      <c r="M35" s="6">
        <f t="shared" si="29"/>
        <v>7.3648355103402352</v>
      </c>
      <c r="N35" s="6">
        <f t="shared" si="29"/>
        <v>6.8461271828634906</v>
      </c>
      <c r="O35" s="6">
        <f t="shared" si="29"/>
        <v>6.401628898423037</v>
      </c>
      <c r="P35" s="6">
        <f t="shared" si="29"/>
        <v>6.028637250702193</v>
      </c>
      <c r="Q35" s="6">
        <f t="shared" si="29"/>
        <v>5.7166148000334216</v>
      </c>
      <c r="R35" s="6">
        <f t="shared" si="29"/>
        <v>5.4514917347155611</v>
      </c>
      <c r="S35" s="6">
        <f t="shared" si="29"/>
        <v>5.2178670466878563</v>
      </c>
      <c r="T35" s="6">
        <f t="shared" ref="T35:T43" si="30">(T3-T4)/($B$2)</f>
        <v>5</v>
      </c>
      <c r="U35" s="3">
        <v>10</v>
      </c>
    </row>
    <row r="36" spans="5:21" x14ac:dyDescent="0.25">
      <c r="E36" s="3">
        <v>1.6</v>
      </c>
      <c r="F36" s="6">
        <f t="shared" ref="F36:F38" si="31">(F4-F6)/(2*$B$2)</f>
        <v>10</v>
      </c>
      <c r="G36" s="6">
        <f t="shared" ref="G36:S36" si="32">(G4-G6)/(2*$B$2)</f>
        <v>9.9392605747726037</v>
      </c>
      <c r="H36" s="6">
        <f t="shared" si="32"/>
        <v>9.845593274354961</v>
      </c>
      <c r="I36" s="6">
        <f t="shared" si="32"/>
        <v>9.6657244414873613</v>
      </c>
      <c r="J36" s="6">
        <f t="shared" si="32"/>
        <v>9.3026439828952867</v>
      </c>
      <c r="K36" s="6">
        <f t="shared" si="32"/>
        <v>8.6341725522257438</v>
      </c>
      <c r="L36" s="6">
        <f t="shared" si="32"/>
        <v>7.9206453264901384</v>
      </c>
      <c r="M36" s="6">
        <f t="shared" si="32"/>
        <v>7.2790118374205237</v>
      </c>
      <c r="N36" s="6">
        <f t="shared" si="32"/>
        <v>6.7388134220803497</v>
      </c>
      <c r="O36" s="6">
        <f t="shared" si="32"/>
        <v>6.2965945287514291</v>
      </c>
      <c r="P36" s="6">
        <f t="shared" si="32"/>
        <v>5.938271589508572</v>
      </c>
      <c r="Q36" s="6">
        <f t="shared" si="32"/>
        <v>5.6467202605480571</v>
      </c>
      <c r="R36" s="6">
        <f t="shared" si="32"/>
        <v>5.4043934272611249</v>
      </c>
      <c r="S36" s="6">
        <f t="shared" si="32"/>
        <v>5.1942618326785972</v>
      </c>
      <c r="T36" s="6">
        <f t="shared" si="30"/>
        <v>5</v>
      </c>
      <c r="U36" s="3">
        <v>9</v>
      </c>
    </row>
    <row r="37" spans="5:21" x14ac:dyDescent="0.25">
      <c r="E37" s="3">
        <v>1.4</v>
      </c>
      <c r="F37" s="6">
        <f t="shared" si="31"/>
        <v>10</v>
      </c>
      <c r="G37" s="6">
        <f t="shared" ref="G37:S37" si="33">(G5-G7)/(2*$B$2)</f>
        <v>10.032714197141345</v>
      </c>
      <c r="H37" s="6">
        <f t="shared" si="33"/>
        <v>10.060001990420417</v>
      </c>
      <c r="I37" s="6">
        <f t="shared" si="33"/>
        <v>10.045137765847393</v>
      </c>
      <c r="J37" s="6">
        <f t="shared" si="33"/>
        <v>9.8253900040287512</v>
      </c>
      <c r="K37" s="6">
        <f t="shared" si="33"/>
        <v>8.7684129345868662</v>
      </c>
      <c r="L37" s="6">
        <f t="shared" si="33"/>
        <v>7.8245960108454193</v>
      </c>
      <c r="M37" s="6">
        <f t="shared" si="33"/>
        <v>7.0917331318277439</v>
      </c>
      <c r="N37" s="6">
        <f t="shared" si="33"/>
        <v>6.5334958642578922</v>
      </c>
      <c r="O37" s="6">
        <f t="shared" si="33"/>
        <v>6.1076392586117496</v>
      </c>
      <c r="P37" s="6">
        <f t="shared" si="33"/>
        <v>5.7811092813306404</v>
      </c>
      <c r="Q37" s="6">
        <f t="shared" si="33"/>
        <v>5.5275803729760087</v>
      </c>
      <c r="R37" s="6">
        <f t="shared" si="33"/>
        <v>5.32508397861021</v>
      </c>
      <c r="S37" s="6">
        <f t="shared" si="33"/>
        <v>5.1547787380924515</v>
      </c>
      <c r="T37" s="6">
        <f t="shared" si="30"/>
        <v>5</v>
      </c>
      <c r="U37" s="3">
        <v>8</v>
      </c>
    </row>
    <row r="38" spans="5:21" x14ac:dyDescent="0.25">
      <c r="E38" s="3">
        <v>1.2</v>
      </c>
      <c r="F38" s="6">
        <f t="shared" si="31"/>
        <v>10</v>
      </c>
      <c r="G38" s="6">
        <f>(G6-G8)/(2*$B$2)</f>
        <v>10.131594996193071</v>
      </c>
      <c r="H38" s="6">
        <f t="shared" ref="H38:S40" si="34">(H6-H8)/(2*$B$2)</f>
        <v>10.316564230408318</v>
      </c>
      <c r="I38" s="6">
        <f t="shared" si="34"/>
        <v>10.629436866699477</v>
      </c>
      <c r="J38" s="6">
        <f t="shared" si="34"/>
        <v>11.185367392115149</v>
      </c>
      <c r="K38" s="6">
        <f t="shared" si="34"/>
        <v>8.7894919198743722</v>
      </c>
      <c r="L38" s="6">
        <f t="shared" si="34"/>
        <v>7.5175871417125393</v>
      </c>
      <c r="M38" s="6">
        <f t="shared" si="34"/>
        <v>6.7298186561504032</v>
      </c>
      <c r="N38" s="6">
        <f t="shared" si="34"/>
        <v>6.1957843829291752</v>
      </c>
      <c r="O38" s="6">
        <f t="shared" si="34"/>
        <v>5.8193414996033841</v>
      </c>
      <c r="P38" s="6">
        <f t="shared" si="34"/>
        <v>5.5509304148785894</v>
      </c>
      <c r="Q38" s="6">
        <f t="shared" si="34"/>
        <v>5.357393699916706</v>
      </c>
      <c r="R38" s="6">
        <f t="shared" si="34"/>
        <v>5.2135730944298082</v>
      </c>
      <c r="S38" s="6">
        <f t="shared" si="34"/>
        <v>5.0997634437822432</v>
      </c>
      <c r="T38" s="6">
        <f t="shared" si="30"/>
        <v>5</v>
      </c>
      <c r="U38" s="3">
        <v>7</v>
      </c>
    </row>
    <row r="39" spans="5:21" x14ac:dyDescent="0.25">
      <c r="E39" s="3">
        <v>1</v>
      </c>
      <c r="F39" s="6">
        <f>B4</f>
        <v>10</v>
      </c>
      <c r="G39" s="6">
        <f t="shared" ref="G39:I39" si="35">(G7-G8)/($B$2)</f>
        <v>10.177103784102091</v>
      </c>
      <c r="H39" s="6">
        <f t="shared" si="35"/>
        <v>10.445228085633973</v>
      </c>
      <c r="I39" s="6">
        <f t="shared" si="35"/>
        <v>10.970686363111994</v>
      </c>
      <c r="J39" s="6">
        <f>(J7-J8)/($B$2)</f>
        <v>12.178655224616088</v>
      </c>
      <c r="K39" s="6">
        <f t="shared" si="34"/>
        <v>7.6866095773506977</v>
      </c>
      <c r="L39" s="6">
        <f t="shared" si="34"/>
        <v>6.7264477113406018</v>
      </c>
      <c r="M39" s="6">
        <f t="shared" si="34"/>
        <v>6.1141716791855725</v>
      </c>
      <c r="N39" s="6">
        <f t="shared" si="34"/>
        <v>5.7004798061572108</v>
      </c>
      <c r="O39" s="6">
        <f t="shared" si="34"/>
        <v>5.4230078433625222</v>
      </c>
      <c r="P39" s="6">
        <f t="shared" si="34"/>
        <v>5.2458716123927189</v>
      </c>
      <c r="Q39" s="6">
        <f t="shared" si="34"/>
        <v>5.1374855352314261</v>
      </c>
      <c r="R39" s="6">
        <f t="shared" si="34"/>
        <v>5.0720468113936485</v>
      </c>
      <c r="S39" s="6">
        <f t="shared" si="34"/>
        <v>5.0306995819007678</v>
      </c>
      <c r="T39" s="6">
        <f t="shared" si="30"/>
        <v>5</v>
      </c>
      <c r="U39" s="3">
        <v>6</v>
      </c>
    </row>
    <row r="40" spans="5:21" x14ac:dyDescent="0.25">
      <c r="E40" s="3">
        <v>0.8</v>
      </c>
      <c r="F40" s="5"/>
      <c r="G40" s="5"/>
      <c r="H40" s="5"/>
      <c r="I40" s="5"/>
      <c r="J40" s="5"/>
      <c r="K40" s="6">
        <f>(K8-K9)/($B$2)</f>
        <v>6.6370183806299288</v>
      </c>
      <c r="L40" s="6">
        <f t="shared" si="34"/>
        <v>5.5874377636820514</v>
      </c>
      <c r="M40" s="6">
        <f t="shared" ref="M40" si="36">(M8-M10)/(2*$B$2)</f>
        <v>5.2999533850515812</v>
      </c>
      <c r="N40" s="6">
        <f t="shared" ref="N40" si="37">(N8-N10)/(2*$B$2)</f>
        <v>5.0689647532341242</v>
      </c>
      <c r="O40" s="6">
        <f t="shared" ref="O40:S40" si="38">(O8-O10)/(2*$B$2)</f>
        <v>4.9263455165249335</v>
      </c>
      <c r="P40" s="6">
        <f t="shared" si="38"/>
        <v>4.8720673426153001</v>
      </c>
      <c r="Q40" s="6">
        <f t="shared" si="38"/>
        <v>4.8746331951382178</v>
      </c>
      <c r="R40" s="6">
        <f t="shared" si="38"/>
        <v>4.9064308644614369</v>
      </c>
      <c r="S40" s="6">
        <f t="shared" si="38"/>
        <v>4.9509889572150012</v>
      </c>
      <c r="T40" s="6">
        <f t="shared" si="30"/>
        <v>5</v>
      </c>
      <c r="U40" s="3">
        <v>5</v>
      </c>
    </row>
    <row r="41" spans="5:21" x14ac:dyDescent="0.25">
      <c r="E41" s="3">
        <v>0.6</v>
      </c>
      <c r="F41" s="5"/>
      <c r="G41" s="5"/>
      <c r="H41" s="5"/>
      <c r="I41" s="5"/>
      <c r="J41" s="5"/>
      <c r="K41" s="5"/>
      <c r="L41" s="6">
        <f>(L9-L10)/($B$2)</f>
        <v>5.0083425879971175</v>
      </c>
      <c r="M41" s="6">
        <f t="shared" ref="M41" si="39">(M9-M11)/(2*$B$2)</f>
        <v>4.4292596786464475</v>
      </c>
      <c r="N41" s="6">
        <f t="shared" ref="N41" si="40">(N9-N11)/(2*$B$2)</f>
        <v>4.3490990992947669</v>
      </c>
      <c r="O41" s="6">
        <f t="shared" ref="O41:S41" si="41">(O9-O11)/(2*$B$2)</f>
        <v>4.3413578361094265</v>
      </c>
      <c r="P41" s="6">
        <f t="shared" si="41"/>
        <v>4.4414327496986132</v>
      </c>
      <c r="Q41" s="6">
        <f t="shared" si="41"/>
        <v>4.5825594837800976</v>
      </c>
      <c r="R41" s="6">
        <f t="shared" si="41"/>
        <v>4.7280620527268136</v>
      </c>
      <c r="S41" s="6">
        <f t="shared" si="41"/>
        <v>4.8668291369272003</v>
      </c>
      <c r="T41" s="6">
        <f t="shared" si="30"/>
        <v>5</v>
      </c>
      <c r="U41" s="3">
        <v>4</v>
      </c>
    </row>
    <row r="42" spans="5:21" x14ac:dyDescent="0.25">
      <c r="E42" s="3">
        <v>0.4</v>
      </c>
      <c r="F42" s="5"/>
      <c r="G42" s="5"/>
      <c r="H42" s="5"/>
      <c r="I42" s="5"/>
      <c r="J42" s="5"/>
      <c r="K42" s="5"/>
      <c r="L42" s="5"/>
      <c r="M42" s="6">
        <f>(M10-M11)/($B$2)</f>
        <v>3.9930421107190339</v>
      </c>
      <c r="N42" s="6">
        <f t="shared" ref="N42" si="42">(N10-N12)/(2*$B$2)</f>
        <v>3.5568371372785239</v>
      </c>
      <c r="O42" s="6">
        <f t="shared" ref="O42:S42" si="43">(O10-O12)/(2*$B$2)</f>
        <v>3.6485760173694834</v>
      </c>
      <c r="P42" s="6">
        <f t="shared" si="43"/>
        <v>3.9697654300169871</v>
      </c>
      <c r="Q42" s="6">
        <f t="shared" si="43"/>
        <v>4.2861264554742347</v>
      </c>
      <c r="R42" s="6">
        <f t="shared" si="43"/>
        <v>4.5564402390809677</v>
      </c>
      <c r="S42" s="6">
        <f t="shared" si="43"/>
        <v>4.7882718157623039</v>
      </c>
      <c r="T42" s="6">
        <f t="shared" si="30"/>
        <v>5</v>
      </c>
      <c r="U42" s="3">
        <v>3</v>
      </c>
    </row>
    <row r="43" spans="5:21" x14ac:dyDescent="0.25">
      <c r="E43" s="3">
        <v>0.2</v>
      </c>
      <c r="F43" s="5"/>
      <c r="G43" s="5"/>
      <c r="H43" s="5"/>
      <c r="I43" s="5"/>
      <c r="J43" s="5"/>
      <c r="K43" s="5"/>
      <c r="L43" s="5"/>
      <c r="M43" s="5"/>
      <c r="N43" s="6">
        <f>(N11-N12)/($B$2)</f>
        <v>3.1415960948532762</v>
      </c>
      <c r="O43" s="6">
        <f>(O11-O13)/(2*$B$2)</f>
        <v>2.7263661634932626</v>
      </c>
      <c r="P43" s="6">
        <f t="shared" ref="P43:S43" si="44">(P11-P13)/(2*$B$2)</f>
        <v>3.5029491058758322</v>
      </c>
      <c r="Q43" s="6">
        <f t="shared" si="44"/>
        <v>4.0357598079790451</v>
      </c>
      <c r="R43" s="6">
        <f t="shared" si="44"/>
        <v>4.4233154225537659</v>
      </c>
      <c r="S43" s="6">
        <f t="shared" si="44"/>
        <v>4.7298254963917223</v>
      </c>
      <c r="T43" s="6">
        <f t="shared" si="30"/>
        <v>5</v>
      </c>
      <c r="U43" s="3">
        <v>2</v>
      </c>
    </row>
    <row r="44" spans="5:21" x14ac:dyDescent="0.25">
      <c r="E44" s="3">
        <v>0</v>
      </c>
      <c r="F44" s="5"/>
      <c r="G44" s="5"/>
      <c r="H44" s="5"/>
      <c r="I44" s="5"/>
      <c r="J44" s="5"/>
      <c r="K44" s="5"/>
      <c r="L44" s="5"/>
      <c r="M44" s="5"/>
      <c r="N44" s="5"/>
      <c r="O44" s="6">
        <f t="shared" ref="O44:S44" si="45">(O12-O13)/($B$2)</f>
        <v>2.1831608886071652</v>
      </c>
      <c r="P44" s="6">
        <f t="shared" si="45"/>
        <v>3.2799266771214564</v>
      </c>
      <c r="Q44" s="6">
        <f t="shared" si="45"/>
        <v>3.930669376953678</v>
      </c>
      <c r="R44" s="6">
        <f t="shared" si="45"/>
        <v>4.3712517808378397</v>
      </c>
      <c r="S44" s="6">
        <f t="shared" si="45"/>
        <v>4.7077235159426989</v>
      </c>
      <c r="T44" s="6">
        <f>(T12-T13)/($B$2)</f>
        <v>5</v>
      </c>
      <c r="U44" s="3">
        <v>1</v>
      </c>
    </row>
    <row r="45" spans="5:21" x14ac:dyDescent="0.25">
      <c r="E45" s="3"/>
      <c r="F45" s="3">
        <v>0</v>
      </c>
      <c r="G45" s="3">
        <v>0.2</v>
      </c>
      <c r="H45" s="3">
        <v>0.4</v>
      </c>
      <c r="I45" s="3">
        <v>0.6</v>
      </c>
      <c r="J45" s="3">
        <v>0.8</v>
      </c>
      <c r="K45" s="3">
        <v>1</v>
      </c>
      <c r="L45" s="3">
        <v>1.2</v>
      </c>
      <c r="M45" s="3">
        <v>1.4</v>
      </c>
      <c r="N45" s="3">
        <v>1.6</v>
      </c>
      <c r="O45" s="3">
        <v>1.8</v>
      </c>
      <c r="P45" s="3">
        <v>2</v>
      </c>
      <c r="Q45" s="3">
        <v>2.2000000000000002</v>
      </c>
      <c r="R45" s="3">
        <v>2.4</v>
      </c>
      <c r="S45" s="3">
        <v>2.6</v>
      </c>
      <c r="T45" s="3">
        <v>2.8</v>
      </c>
      <c r="U45" s="3"/>
    </row>
    <row r="48" spans="5:21" x14ac:dyDescent="0.25">
      <c r="E48" s="3" t="s">
        <v>12</v>
      </c>
      <c r="F48" s="3">
        <v>1</v>
      </c>
      <c r="G48" s="3">
        <v>2</v>
      </c>
      <c r="H48" s="3">
        <v>3</v>
      </c>
      <c r="I48" s="3">
        <v>4</v>
      </c>
      <c r="J48" s="3">
        <v>5</v>
      </c>
      <c r="K48" s="3">
        <v>6</v>
      </c>
      <c r="L48" s="3">
        <v>7</v>
      </c>
      <c r="M48" s="3">
        <v>8</v>
      </c>
      <c r="N48" s="3">
        <v>9</v>
      </c>
      <c r="O48" s="3">
        <v>10</v>
      </c>
      <c r="P48" s="3">
        <v>11</v>
      </c>
      <c r="Q48" s="3">
        <v>12</v>
      </c>
      <c r="R48" s="3">
        <v>13</v>
      </c>
      <c r="S48" s="3">
        <v>14</v>
      </c>
      <c r="T48" s="3">
        <v>15</v>
      </c>
      <c r="U48" s="3"/>
    </row>
    <row r="49" spans="5:21" x14ac:dyDescent="0.25">
      <c r="E49" s="3">
        <v>2</v>
      </c>
      <c r="F49" s="6">
        <f>-(G3-F3)/$B$2</f>
        <v>0</v>
      </c>
      <c r="G49" s="6">
        <f>-(H3-F3)/(2*$B$2)</f>
        <v>0</v>
      </c>
      <c r="H49" s="6">
        <f>-(I3-G3)/(2*$B$2)</f>
        <v>0</v>
      </c>
      <c r="I49" s="6">
        <f t="shared" ref="I49:S50" si="46">-(J3-H3)/(2*$B$2)</f>
        <v>0</v>
      </c>
      <c r="J49" s="6">
        <f t="shared" si="46"/>
        <v>0</v>
      </c>
      <c r="K49" s="6">
        <f t="shared" si="46"/>
        <v>0</v>
      </c>
      <c r="L49" s="6">
        <f t="shared" si="46"/>
        <v>0</v>
      </c>
      <c r="M49" s="6">
        <f t="shared" si="46"/>
        <v>0</v>
      </c>
      <c r="N49" s="6">
        <f t="shared" si="46"/>
        <v>0</v>
      </c>
      <c r="O49" s="6">
        <f t="shared" si="46"/>
        <v>0</v>
      </c>
      <c r="P49" s="6">
        <f t="shared" si="46"/>
        <v>0</v>
      </c>
      <c r="Q49" s="6">
        <f t="shared" si="46"/>
        <v>0</v>
      </c>
      <c r="R49" s="6">
        <f t="shared" si="46"/>
        <v>0</v>
      </c>
      <c r="S49" s="6">
        <f t="shared" si="46"/>
        <v>0</v>
      </c>
      <c r="T49" s="6">
        <f>-(T3-S3)/$B$2</f>
        <v>0</v>
      </c>
      <c r="U49" s="3">
        <v>11</v>
      </c>
    </row>
    <row r="50" spans="5:21" x14ac:dyDescent="0.25">
      <c r="E50" s="3">
        <v>1.8</v>
      </c>
      <c r="F50" s="6">
        <f>-(G4-F4)/$B$2</f>
        <v>-0.14171114193135104</v>
      </c>
      <c r="G50" s="6">
        <f>-(H4-F4)/(2*$B$2)</f>
        <v>-0.16215750476328061</v>
      </c>
      <c r="H50" s="6">
        <f>-(I4-G4)/(2*$B$2)</f>
        <v>-0.22430573722116431</v>
      </c>
      <c r="I50" s="6">
        <f t="shared" si="46"/>
        <v>-0.32585387024715473</v>
      </c>
      <c r="J50" s="6">
        <f t="shared" si="46"/>
        <v>-0.44701235422824226</v>
      </c>
      <c r="K50" s="6">
        <f t="shared" si="46"/>
        <v>-0.5376588568742946</v>
      </c>
      <c r="L50" s="6">
        <f t="shared" si="46"/>
        <v>-0.56313127156694343</v>
      </c>
      <c r="M50" s="6">
        <f t="shared" si="46"/>
        <v>-0.53472946363744445</v>
      </c>
      <c r="N50" s="6">
        <f t="shared" si="46"/>
        <v>-0.47713307257078785</v>
      </c>
      <c r="O50" s="6">
        <f t="shared" si="46"/>
        <v>-0.41059842005800373</v>
      </c>
      <c r="P50" s="6">
        <f t="shared" si="46"/>
        <v>-0.34777029300124163</v>
      </c>
      <c r="Q50" s="6">
        <f t="shared" si="46"/>
        <v>-0.29546540007208133</v>
      </c>
      <c r="R50" s="6">
        <f t="shared" si="46"/>
        <v>-0.2569395078554404</v>
      </c>
      <c r="S50" s="6">
        <f t="shared" si="46"/>
        <v>-0.23353648434774055</v>
      </c>
      <c r="T50" s="6">
        <f t="shared" ref="T50:T59" si="47">-(T4-S4)/$B$2</f>
        <v>-0.22570438518100921</v>
      </c>
      <c r="U50" s="3">
        <v>10</v>
      </c>
    </row>
    <row r="51" spans="5:21" x14ac:dyDescent="0.25">
      <c r="E51" s="3">
        <v>1.6</v>
      </c>
      <c r="F51" s="6">
        <f t="shared" ref="F51:F54" si="48">-(G5-F5)/$B$2</f>
        <v>-0.24253217838478225</v>
      </c>
      <c r="G51" s="6">
        <f t="shared" ref="G51:S51" si="49">-(H5-F5)/(2*$B$2)</f>
        <v>-0.28261603323740392</v>
      </c>
      <c r="H51" s="6">
        <f t="shared" si="49"/>
        <v>-0.40921485821100001</v>
      </c>
      <c r="I51" s="6">
        <f t="shared" si="49"/>
        <v>-0.63210158309939146</v>
      </c>
      <c r="J51" s="6">
        <f t="shared" si="49"/>
        <v>-0.92454156453417369</v>
      </c>
      <c r="K51" s="6">
        <f t="shared" si="49"/>
        <v>-1.1404973998477841</v>
      </c>
      <c r="L51" s="6">
        <f t="shared" si="49"/>
        <v>-1.1801419777222</v>
      </c>
      <c r="M51" s="6">
        <f t="shared" si="49"/>
        <v>-1.0986578009519299</v>
      </c>
      <c r="N51" s="6">
        <f t="shared" si="49"/>
        <v>-0.96320661191719781</v>
      </c>
      <c r="O51" s="6">
        <f t="shared" si="49"/>
        <v>-0.81748993216129717</v>
      </c>
      <c r="P51" s="6">
        <f t="shared" si="49"/>
        <v>-0.6850140983896158</v>
      </c>
      <c r="Q51" s="6">
        <f t="shared" si="49"/>
        <v>-0.57714551598663233</v>
      </c>
      <c r="R51" s="6">
        <f t="shared" si="49"/>
        <v>-0.49874775334556531</v>
      </c>
      <c r="S51" s="6">
        <f t="shared" si="49"/>
        <v>-0.45149173471556114</v>
      </c>
      <c r="T51" s="6">
        <f t="shared" si="47"/>
        <v>-0.43573409337571256</v>
      </c>
      <c r="U51" s="3">
        <v>9</v>
      </c>
    </row>
    <row r="52" spans="5:21" x14ac:dyDescent="0.25">
      <c r="E52" s="3">
        <v>1.4</v>
      </c>
      <c r="F52" s="6">
        <f t="shared" si="48"/>
        <v>-0.2631899923861436</v>
      </c>
      <c r="G52" s="6">
        <f t="shared" ref="G52:S52" si="50">-(H6-F6)/(2*$B$2)</f>
        <v>-0.31656423040831827</v>
      </c>
      <c r="H52" s="6">
        <f t="shared" si="50"/>
        <v>-0.49784187050640583</v>
      </c>
      <c r="I52" s="6">
        <f t="shared" si="50"/>
        <v>-0.86880316170683036</v>
      </c>
      <c r="J52" s="6">
        <f t="shared" si="50"/>
        <v>-1.4785642434898594</v>
      </c>
      <c r="K52" s="6">
        <f t="shared" si="50"/>
        <v>-1.9196575132794425</v>
      </c>
      <c r="L52" s="6">
        <f t="shared" si="50"/>
        <v>-1.9182919863721648</v>
      </c>
      <c r="M52" s="6">
        <f t="shared" si="50"/>
        <v>-1.7165613680472336</v>
      </c>
      <c r="N52" s="6">
        <f t="shared" si="50"/>
        <v>-1.4595503812398825</v>
      </c>
      <c r="O52" s="6">
        <f t="shared" si="50"/>
        <v>-1.211140252629781</v>
      </c>
      <c r="P52" s="6">
        <f t="shared" si="50"/>
        <v>-0.99764456120461364</v>
      </c>
      <c r="Q52" s="6">
        <f t="shared" si="50"/>
        <v>-0.82934356231952888</v>
      </c>
      <c r="R52" s="6">
        <f t="shared" si="50"/>
        <v>-0.70939793572490029</v>
      </c>
      <c r="S52" s="6">
        <f t="shared" si="50"/>
        <v>-0.63792991160886547</v>
      </c>
      <c r="T52" s="6">
        <f t="shared" si="47"/>
        <v>-0.61422805053820362</v>
      </c>
      <c r="U52" s="3">
        <v>8</v>
      </c>
    </row>
    <row r="53" spans="5:21" x14ac:dyDescent="0.25">
      <c r="E53" s="3">
        <v>1.2</v>
      </c>
      <c r="F53" s="6">
        <f t="shared" si="48"/>
        <v>-0.1771037841020906</v>
      </c>
      <c r="G53" s="6">
        <f t="shared" ref="G53:S55" si="51">-(H7-F7)/(2*$B$2)</f>
        <v>-0.22261404281698649</v>
      </c>
      <c r="H53" s="6">
        <f t="shared" si="51"/>
        <v>-0.39679128950495191</v>
      </c>
      <c r="I53" s="6">
        <f t="shared" si="51"/>
        <v>-0.86671356949105771</v>
      </c>
      <c r="J53" s="6">
        <f t="shared" si="51"/>
        <v>-2.201266395794701</v>
      </c>
      <c r="K53" s="6">
        <f t="shared" si="51"/>
        <v>-3.1412913930311159</v>
      </c>
      <c r="L53" s="6">
        <f t="shared" si="51"/>
        <v>-2.8568217804813223</v>
      </c>
      <c r="M53" s="6">
        <f t="shared" si="51"/>
        <v>-2.389757947539457</v>
      </c>
      <c r="N53" s="6">
        <f t="shared" si="51"/>
        <v>-1.9473004851331921</v>
      </c>
      <c r="O53" s="6">
        <f t="shared" si="51"/>
        <v>-1.5698765150885485</v>
      </c>
      <c r="P53" s="6">
        <f t="shared" si="51"/>
        <v>-1.2650729840253572</v>
      </c>
      <c r="Q53" s="6">
        <f t="shared" si="51"/>
        <v>-1.0331708187070632</v>
      </c>
      <c r="R53" s="6">
        <f t="shared" si="51"/>
        <v>-0.87154938822912253</v>
      </c>
      <c r="S53" s="6">
        <f t="shared" si="51"/>
        <v>-0.77657571332577113</v>
      </c>
      <c r="T53" s="6">
        <f t="shared" si="47"/>
        <v>-0.74529156956061549</v>
      </c>
      <c r="U53" s="3">
        <v>7</v>
      </c>
    </row>
    <row r="54" spans="5:21" x14ac:dyDescent="0.25">
      <c r="E54" s="3">
        <v>1</v>
      </c>
      <c r="F54" s="6">
        <f t="shared" si="48"/>
        <v>0</v>
      </c>
      <c r="G54" s="6">
        <f t="shared" si="51"/>
        <v>0</v>
      </c>
      <c r="H54" s="6">
        <f t="shared" si="51"/>
        <v>0</v>
      </c>
      <c r="I54" s="6">
        <f t="shared" si="51"/>
        <v>0</v>
      </c>
      <c r="J54" s="6">
        <f t="shared" si="51"/>
        <v>-3.3185091903149644</v>
      </c>
      <c r="K54" s="6">
        <f t="shared" si="51"/>
        <v>-5.5874377636820514</v>
      </c>
      <c r="L54" s="6">
        <f t="shared" si="51"/>
        <v>-3.9779652500961338</v>
      </c>
      <c r="M54" s="6">
        <f t="shared" si="51"/>
        <v>-3.0383641268305972</v>
      </c>
      <c r="N54" s="6">
        <f t="shared" si="51"/>
        <v>-2.3700275377869016</v>
      </c>
      <c r="O54" s="6">
        <f t="shared" si="51"/>
        <v>-1.855994220680367</v>
      </c>
      <c r="P54" s="6">
        <f t="shared" si="51"/>
        <v>-1.459592360891292</v>
      </c>
      <c r="Q54" s="6">
        <f t="shared" si="51"/>
        <v>-1.1667008827683101</v>
      </c>
      <c r="R54" s="6">
        <f t="shared" si="51"/>
        <v>-0.96702819185936262</v>
      </c>
      <c r="S54" s="6">
        <f t="shared" si="51"/>
        <v>-0.85150300603867413</v>
      </c>
      <c r="T54" s="6">
        <f t="shared" si="47"/>
        <v>-0.81375493810269095</v>
      </c>
      <c r="U54" s="3">
        <v>6</v>
      </c>
    </row>
    <row r="55" spans="5:21" x14ac:dyDescent="0.25">
      <c r="E55" s="3">
        <v>0.8</v>
      </c>
      <c r="F55" s="5"/>
      <c r="G55" s="5"/>
      <c r="H55" s="5"/>
      <c r="I55" s="5"/>
      <c r="J55" s="5"/>
      <c r="K55" s="6">
        <f>-(L9-K9)/$B$2</f>
        <v>-5.0083425879971175</v>
      </c>
      <c r="L55" s="6">
        <f t="shared" si="51"/>
        <v>-4.4292596786464475</v>
      </c>
      <c r="M55" s="6">
        <f t="shared" ref="M55:S55" si="52">-(N9-L9)/(2*$B$2)</f>
        <v>-3.4157258527228467</v>
      </c>
      <c r="N55" s="6">
        <f t="shared" si="52"/>
        <v>-2.6384643209562419</v>
      </c>
      <c r="O55" s="6">
        <f t="shared" si="52"/>
        <v>-2.0244847088530404</v>
      </c>
      <c r="P55" s="6">
        <f t="shared" si="52"/>
        <v>-1.5505952921564536</v>
      </c>
      <c r="Q55" s="6">
        <f t="shared" si="52"/>
        <v>-1.2069956197061338</v>
      </c>
      <c r="R55" s="6">
        <f t="shared" si="52"/>
        <v>-0.97833534155978064</v>
      </c>
      <c r="S55" s="6">
        <f t="shared" si="52"/>
        <v>-0.84862252471942012</v>
      </c>
      <c r="T55" s="6">
        <f t="shared" si="47"/>
        <v>-0.80669073336215202</v>
      </c>
      <c r="U55" s="3">
        <v>5</v>
      </c>
    </row>
    <row r="56" spans="5:21" x14ac:dyDescent="0.25">
      <c r="E56" s="3">
        <v>0.6</v>
      </c>
      <c r="F56" s="5"/>
      <c r="G56" s="5"/>
      <c r="H56" s="5"/>
      <c r="I56" s="5"/>
      <c r="J56" s="5"/>
      <c r="K56" s="5"/>
      <c r="L56" s="6">
        <f>-(M10-L10)/$B$2</f>
        <v>-3.9930421107190339</v>
      </c>
      <c r="M56" s="6">
        <f t="shared" ref="M56:S56" si="53">-(N10-L10)/(2*$B$2)</f>
        <v>-3.5568371372785239</v>
      </c>
      <c r="N56" s="6">
        <f t="shared" si="53"/>
        <v>-2.7436354063135493</v>
      </c>
      <c r="O56" s="6">
        <f t="shared" si="53"/>
        <v>-2.0528916312991909</v>
      </c>
      <c r="P56" s="6">
        <f t="shared" si="53"/>
        <v>-1.5113046822780074</v>
      </c>
      <c r="Q56" s="6">
        <f t="shared" si="53"/>
        <v>-1.1323373609221732</v>
      </c>
      <c r="R56" s="6">
        <f t="shared" si="53"/>
        <v>-0.89067242978257966</v>
      </c>
      <c r="S56" s="6">
        <f t="shared" si="53"/>
        <v>-0.75793387050011152</v>
      </c>
      <c r="T56" s="6">
        <f t="shared" si="47"/>
        <v>-0.71573285253269336</v>
      </c>
      <c r="U56" s="3">
        <v>4</v>
      </c>
    </row>
    <row r="57" spans="5:21" x14ac:dyDescent="0.25">
      <c r="E57" s="3">
        <v>0.4</v>
      </c>
      <c r="F57" s="5"/>
      <c r="G57" s="5"/>
      <c r="H57" s="5"/>
      <c r="I57" s="5"/>
      <c r="J57" s="5"/>
      <c r="K57" s="5"/>
      <c r="L57" s="5"/>
      <c r="M57" s="6">
        <f>-(N11-M11)/$B$2</f>
        <v>-3.1415960948532762</v>
      </c>
      <c r="N57" s="6">
        <f t="shared" ref="N57:S57" si="54">-(O11-M11)/(2*$B$2)</f>
        <v>-2.7263661634932626</v>
      </c>
      <c r="O57" s="6">
        <f t="shared" si="54"/>
        <v>-1.9321510584491941</v>
      </c>
      <c r="P57" s="6">
        <f t="shared" si="54"/>
        <v>-1.3093936444857823</v>
      </c>
      <c r="Q57" s="6">
        <f t="shared" si="54"/>
        <v>-0.92036631667793412</v>
      </c>
      <c r="R57" s="6">
        <f t="shared" si="54"/>
        <v>-0.69406568841267779</v>
      </c>
      <c r="S57" s="6">
        <f t="shared" si="54"/>
        <v>-0.57668457744623369</v>
      </c>
      <c r="T57" s="6">
        <f t="shared" si="47"/>
        <v>-0.54034900721655399</v>
      </c>
      <c r="U57" s="3">
        <v>3</v>
      </c>
    </row>
    <row r="58" spans="5:21" x14ac:dyDescent="0.25">
      <c r="E58" s="3">
        <v>0.2</v>
      </c>
      <c r="F58" s="5"/>
      <c r="G58" s="5"/>
      <c r="H58" s="5"/>
      <c r="I58" s="5"/>
      <c r="J58" s="5"/>
      <c r="K58" s="5"/>
      <c r="L58" s="5"/>
      <c r="M58" s="5"/>
      <c r="N58" s="6">
        <f>-(O12-N12)/$B$2</f>
        <v>-2.1831608886071652</v>
      </c>
      <c r="O58" s="6">
        <f t="shared" ref="O58:S59" si="55">-(P12-N12)/(2*$B$2)</f>
        <v>-1.6399633385607282</v>
      </c>
      <c r="P58" s="6">
        <f t="shared" si="55"/>
        <v>-0.87375424417325631</v>
      </c>
      <c r="Q58" s="6">
        <f t="shared" si="55"/>
        <v>-0.54566255185819201</v>
      </c>
      <c r="R58" s="6">
        <f t="shared" si="55"/>
        <v>-0.38852706949451032</v>
      </c>
      <c r="S58" s="6">
        <f t="shared" si="55"/>
        <v>-0.31437410958107981</v>
      </c>
      <c r="T58" s="6">
        <f t="shared" si="47"/>
        <v>-0.29227648405730111</v>
      </c>
      <c r="U58" s="3">
        <v>2</v>
      </c>
    </row>
    <row r="59" spans="5:21" x14ac:dyDescent="0.25">
      <c r="E59" s="3">
        <v>0</v>
      </c>
      <c r="F59" s="5"/>
      <c r="G59" s="5"/>
      <c r="H59" s="5"/>
      <c r="I59" s="5"/>
      <c r="J59" s="5"/>
      <c r="K59" s="5"/>
      <c r="L59" s="5"/>
      <c r="M59" s="5"/>
      <c r="N59" s="5"/>
      <c r="O59" s="6">
        <f>-(P13-O13)/$B$2</f>
        <v>0</v>
      </c>
      <c r="P59" s="6">
        <f t="shared" si="55"/>
        <v>0</v>
      </c>
      <c r="Q59" s="6">
        <f t="shared" si="55"/>
        <v>0</v>
      </c>
      <c r="R59" s="6">
        <f t="shared" si="55"/>
        <v>0</v>
      </c>
      <c r="S59" s="6">
        <f t="shared" si="55"/>
        <v>0</v>
      </c>
      <c r="T59" s="6">
        <f t="shared" si="47"/>
        <v>0</v>
      </c>
      <c r="U59" s="3">
        <v>1</v>
      </c>
    </row>
    <row r="60" spans="5:21" x14ac:dyDescent="0.25">
      <c r="E60" s="3"/>
      <c r="F60" s="3">
        <v>0</v>
      </c>
      <c r="G60" s="3">
        <v>0.2</v>
      </c>
      <c r="H60" s="3">
        <v>0.4</v>
      </c>
      <c r="I60" s="3">
        <v>0.6</v>
      </c>
      <c r="J60" s="3">
        <v>0.8</v>
      </c>
      <c r="K60" s="3">
        <v>1</v>
      </c>
      <c r="L60" s="3">
        <v>1.2</v>
      </c>
      <c r="M60" s="3">
        <v>1.4</v>
      </c>
      <c r="N60" s="3">
        <v>1.6</v>
      </c>
      <c r="O60" s="3">
        <v>1.8</v>
      </c>
      <c r="P60" s="3">
        <v>2</v>
      </c>
      <c r="Q60" s="3">
        <v>2.2000000000000002</v>
      </c>
      <c r="R60" s="3">
        <v>2.4</v>
      </c>
      <c r="S60" s="3">
        <v>2.6</v>
      </c>
      <c r="T60" s="3">
        <v>2.8</v>
      </c>
      <c r="U60" s="3"/>
    </row>
    <row r="63" spans="5:21" x14ac:dyDescent="0.25">
      <c r="E63" s="3" t="s">
        <v>13</v>
      </c>
      <c r="F63" s="3">
        <v>1</v>
      </c>
      <c r="G63" s="3">
        <v>2</v>
      </c>
      <c r="H63" s="3">
        <v>3</v>
      </c>
      <c r="I63" s="3">
        <v>4</v>
      </c>
      <c r="J63" s="3">
        <v>5</v>
      </c>
      <c r="K63" s="3">
        <v>6</v>
      </c>
      <c r="L63" s="3">
        <v>7</v>
      </c>
      <c r="M63" s="3">
        <v>8</v>
      </c>
      <c r="N63" s="3">
        <v>9</v>
      </c>
      <c r="O63" s="3">
        <v>10</v>
      </c>
      <c r="P63" s="3">
        <v>11</v>
      </c>
      <c r="Q63" s="3">
        <v>12</v>
      </c>
      <c r="R63" s="3">
        <v>13</v>
      </c>
      <c r="S63" s="3">
        <v>14</v>
      </c>
      <c r="T63" s="3">
        <v>15</v>
      </c>
      <c r="U63" s="3"/>
    </row>
    <row r="64" spans="5:21" x14ac:dyDescent="0.25">
      <c r="E64" s="3">
        <v>2</v>
      </c>
      <c r="F64" s="6">
        <f>(F49^2+F34^2)^0.5</f>
        <v>10</v>
      </c>
      <c r="G64" s="6">
        <f t="shared" ref="G64:T64" si="56">(G49^2+G34^2)^0.5</f>
        <v>9.858288858068649</v>
      </c>
      <c r="H64" s="6">
        <f t="shared" si="56"/>
        <v>9.6756849904734388</v>
      </c>
      <c r="I64" s="6">
        <f t="shared" si="56"/>
        <v>9.4096773836263203</v>
      </c>
      <c r="J64" s="6">
        <f t="shared" si="56"/>
        <v>9.0239772499791293</v>
      </c>
      <c r="K64" s="6">
        <f t="shared" si="56"/>
        <v>8.5156526751698358</v>
      </c>
      <c r="L64" s="6">
        <f t="shared" si="56"/>
        <v>7.9486595362305401</v>
      </c>
      <c r="M64" s="6">
        <f t="shared" si="56"/>
        <v>7.389390132035949</v>
      </c>
      <c r="N64" s="6">
        <f t="shared" si="56"/>
        <v>6.8792006089556512</v>
      </c>
      <c r="O64" s="6">
        <f t="shared" si="56"/>
        <v>6.4351239868943733</v>
      </c>
      <c r="P64" s="6">
        <f t="shared" si="56"/>
        <v>6.0580037688396438</v>
      </c>
      <c r="Q64" s="6">
        <f t="shared" si="56"/>
        <v>5.73958340089189</v>
      </c>
      <c r="R64" s="6">
        <f t="shared" si="56"/>
        <v>5.4670729686954811</v>
      </c>
      <c r="S64" s="6">
        <f t="shared" si="56"/>
        <v>5.2257043851810092</v>
      </c>
      <c r="T64" s="6">
        <f t="shared" si="56"/>
        <v>5</v>
      </c>
      <c r="U64" s="3">
        <v>11</v>
      </c>
    </row>
    <row r="65" spans="5:21" x14ac:dyDescent="0.25">
      <c r="E65" s="3">
        <v>1.8</v>
      </c>
      <c r="F65" s="6">
        <f t="shared" ref="F65:T65" si="57">(F50^2+F35^2)^0.5</f>
        <v>10.001004051981356</v>
      </c>
      <c r="G65" s="6">
        <f t="shared" si="57"/>
        <v>9.8800647131934927</v>
      </c>
      <c r="H65" s="6">
        <f t="shared" si="57"/>
        <v>9.7199724393253852</v>
      </c>
      <c r="I65" s="6">
        <f t="shared" si="57"/>
        <v>9.4751238425809099</v>
      </c>
      <c r="J65" s="6">
        <f t="shared" si="57"/>
        <v>9.096272645195592</v>
      </c>
      <c r="K65" s="6">
        <f t="shared" si="57"/>
        <v>8.5618758060292581</v>
      </c>
      <c r="L65" s="6">
        <f t="shared" si="57"/>
        <v>7.9647175259437546</v>
      </c>
      <c r="M65" s="6">
        <f t="shared" si="57"/>
        <v>7.3842222131820021</v>
      </c>
      <c r="N65" s="6">
        <f t="shared" si="57"/>
        <v>6.8627336661772933</v>
      </c>
      <c r="O65" s="6">
        <f t="shared" si="57"/>
        <v>6.4147832087825911</v>
      </c>
      <c r="P65" s="6">
        <f t="shared" si="57"/>
        <v>6.0386597252410459</v>
      </c>
      <c r="Q65" s="6">
        <f t="shared" si="57"/>
        <v>5.7242453279538008</v>
      </c>
      <c r="R65" s="6">
        <f t="shared" si="57"/>
        <v>5.4575434074654021</v>
      </c>
      <c r="S65" s="6">
        <f t="shared" si="57"/>
        <v>5.2230906373939705</v>
      </c>
      <c r="T65" s="6">
        <f t="shared" si="57"/>
        <v>5.0050916544544855</v>
      </c>
      <c r="U65" s="3">
        <v>10</v>
      </c>
    </row>
    <row r="66" spans="5:21" x14ac:dyDescent="0.25">
      <c r="E66" s="3">
        <v>1.6</v>
      </c>
      <c r="F66" s="6">
        <f t="shared" ref="F66:T66" si="58">(F51^2+F36^2)^0.5</f>
        <v>10.002940660503393</v>
      </c>
      <c r="G66" s="6">
        <f t="shared" si="58"/>
        <v>9.9432777591432036</v>
      </c>
      <c r="H66" s="6">
        <f t="shared" si="58"/>
        <v>9.8540937545876996</v>
      </c>
      <c r="I66" s="6">
        <f t="shared" si="58"/>
        <v>9.6863709091755776</v>
      </c>
      <c r="J66" s="6">
        <f t="shared" si="58"/>
        <v>9.3484737886485618</v>
      </c>
      <c r="K66" s="6">
        <f t="shared" si="58"/>
        <v>8.7091716012872293</v>
      </c>
      <c r="L66" s="6">
        <f t="shared" si="58"/>
        <v>8.008080761058304</v>
      </c>
      <c r="M66" s="6">
        <f t="shared" si="58"/>
        <v>7.3614578918106046</v>
      </c>
      <c r="N66" s="6">
        <f t="shared" si="58"/>
        <v>6.8073029398471228</v>
      </c>
      <c r="O66" s="6">
        <f t="shared" si="58"/>
        <v>6.3494403256261505</v>
      </c>
      <c r="P66" s="6">
        <f t="shared" si="58"/>
        <v>5.9776511930487546</v>
      </c>
      <c r="Q66" s="6">
        <f t="shared" si="58"/>
        <v>5.6761383569736381</v>
      </c>
      <c r="R66" s="6">
        <f t="shared" si="58"/>
        <v>5.4273582559188496</v>
      </c>
      <c r="S66" s="6">
        <f t="shared" si="58"/>
        <v>5.2138470223950844</v>
      </c>
      <c r="T66" s="6">
        <f t="shared" si="58"/>
        <v>5.0189505078382624</v>
      </c>
      <c r="U66" s="3">
        <v>9</v>
      </c>
    </row>
    <row r="67" spans="5:21" x14ac:dyDescent="0.25">
      <c r="E67" s="3">
        <v>1.4</v>
      </c>
      <c r="F67" s="6">
        <f t="shared" ref="F67:T67" si="59">(F52^2+F37^2)^0.5</f>
        <v>10.003462849038439</v>
      </c>
      <c r="G67" s="6">
        <f t="shared" si="59"/>
        <v>10.037707261795171</v>
      </c>
      <c r="H67" s="6">
        <f t="shared" si="59"/>
        <v>10.072312871197562</v>
      </c>
      <c r="I67" s="6">
        <f t="shared" si="59"/>
        <v>10.082639122206315</v>
      </c>
      <c r="J67" s="6">
        <f t="shared" si="59"/>
        <v>9.9360173587506804</v>
      </c>
      <c r="K67" s="6">
        <f t="shared" si="59"/>
        <v>8.9760876978626083</v>
      </c>
      <c r="L67" s="6">
        <f t="shared" si="59"/>
        <v>8.0563109968469888</v>
      </c>
      <c r="M67" s="6">
        <f t="shared" si="59"/>
        <v>7.2965239493429701</v>
      </c>
      <c r="N67" s="6">
        <f t="shared" si="59"/>
        <v>6.6945392316165027</v>
      </c>
      <c r="O67" s="6">
        <f t="shared" si="59"/>
        <v>6.2265655079566624</v>
      </c>
      <c r="P67" s="6">
        <f t="shared" si="59"/>
        <v>5.8665593999539816</v>
      </c>
      <c r="Q67" s="6">
        <f t="shared" si="59"/>
        <v>5.5894503776373607</v>
      </c>
      <c r="R67" s="6">
        <f t="shared" si="59"/>
        <v>5.3721285176791786</v>
      </c>
      <c r="S67" s="6">
        <f t="shared" si="59"/>
        <v>5.1941022718863845</v>
      </c>
      <c r="T67" s="6">
        <f t="shared" si="59"/>
        <v>5.0375863365373661</v>
      </c>
      <c r="U67" s="3">
        <v>8</v>
      </c>
    </row>
    <row r="68" spans="5:21" x14ac:dyDescent="0.25">
      <c r="E68" s="3">
        <v>1.2</v>
      </c>
      <c r="F68" s="6">
        <f t="shared" ref="F68:T68" si="60">(F53^2+F38^2)^0.5</f>
        <v>10.00156816456016</v>
      </c>
      <c r="G68" s="6">
        <f t="shared" si="60"/>
        <v>10.134040367935377</v>
      </c>
      <c r="H68" s="6">
        <f t="shared" si="60"/>
        <v>10.324192019115461</v>
      </c>
      <c r="I68" s="6">
        <f t="shared" si="60"/>
        <v>10.664713803693465</v>
      </c>
      <c r="J68" s="6">
        <f t="shared" si="60"/>
        <v>11.399913045363453</v>
      </c>
      <c r="K68" s="6">
        <f t="shared" si="60"/>
        <v>9.3339637788813086</v>
      </c>
      <c r="L68" s="6">
        <f t="shared" si="60"/>
        <v>8.0421108621228399</v>
      </c>
      <c r="M68" s="6">
        <f t="shared" si="60"/>
        <v>7.141526600979514</v>
      </c>
      <c r="N68" s="6">
        <f t="shared" si="60"/>
        <v>6.4945918500818065</v>
      </c>
      <c r="O68" s="6">
        <f t="shared" si="60"/>
        <v>6.0273748648671859</v>
      </c>
      <c r="P68" s="6">
        <f t="shared" si="60"/>
        <v>5.6932625203599221</v>
      </c>
      <c r="Q68" s="6">
        <f t="shared" si="60"/>
        <v>5.4561075132859171</v>
      </c>
      <c r="R68" s="6">
        <f t="shared" si="60"/>
        <v>5.2859192906328945</v>
      </c>
      <c r="S68" s="6">
        <f t="shared" si="60"/>
        <v>5.1585518337092591</v>
      </c>
      <c r="T68" s="6">
        <f t="shared" si="60"/>
        <v>5.055240797791746</v>
      </c>
      <c r="U68" s="3">
        <v>7</v>
      </c>
    </row>
    <row r="69" spans="5:21" x14ac:dyDescent="0.25">
      <c r="E69" s="3">
        <v>1</v>
      </c>
      <c r="F69" s="6">
        <f t="shared" ref="F69:T73" si="61">(F54^2+F39^2)^0.5</f>
        <v>10</v>
      </c>
      <c r="G69" s="6">
        <f t="shared" si="61"/>
        <v>10.177103784102091</v>
      </c>
      <c r="H69" s="6">
        <f t="shared" si="61"/>
        <v>10.445228085633973</v>
      </c>
      <c r="I69" s="6">
        <f t="shared" si="61"/>
        <v>10.970686363111994</v>
      </c>
      <c r="J69" s="6">
        <f t="shared" si="61"/>
        <v>12.62268380045518</v>
      </c>
      <c r="K69" s="6">
        <f t="shared" si="61"/>
        <v>9.5028115606719119</v>
      </c>
      <c r="L69" s="6">
        <f t="shared" si="61"/>
        <v>7.81468530040536</v>
      </c>
      <c r="M69" s="6">
        <f t="shared" si="61"/>
        <v>6.8274996806858939</v>
      </c>
      <c r="N69" s="6">
        <f t="shared" si="61"/>
        <v>6.1735322587862447</v>
      </c>
      <c r="O69" s="6">
        <f t="shared" si="61"/>
        <v>5.7318172176344175</v>
      </c>
      <c r="P69" s="6">
        <f t="shared" si="61"/>
        <v>5.4451426825823397</v>
      </c>
      <c r="Q69" s="6">
        <f t="shared" si="61"/>
        <v>5.2682965533998258</v>
      </c>
      <c r="R69" s="6">
        <f t="shared" si="61"/>
        <v>5.1634099566874667</v>
      </c>
      <c r="S69" s="6">
        <f t="shared" si="61"/>
        <v>5.1022539776680524</v>
      </c>
      <c r="T69" s="6">
        <f t="shared" si="61"/>
        <v>5.0657869180697404</v>
      </c>
      <c r="U69" s="3">
        <v>6</v>
      </c>
    </row>
    <row r="70" spans="5:21" x14ac:dyDescent="0.25">
      <c r="E70" s="3">
        <v>0.8</v>
      </c>
      <c r="F70" s="5"/>
      <c r="G70" s="5"/>
      <c r="H70" s="5"/>
      <c r="I70" s="5"/>
      <c r="J70" s="5"/>
      <c r="K70" s="6">
        <f t="shared" si="61"/>
        <v>8.3146562444616556</v>
      </c>
      <c r="L70" s="6">
        <f t="shared" si="61"/>
        <v>7.1300632580576391</v>
      </c>
      <c r="M70" s="6">
        <f t="shared" si="61"/>
        <v>6.3052905551353406</v>
      </c>
      <c r="N70" s="6">
        <f t="shared" si="61"/>
        <v>5.7145338954711757</v>
      </c>
      <c r="O70" s="6">
        <f t="shared" si="61"/>
        <v>5.3261072543242207</v>
      </c>
      <c r="P70" s="6">
        <f t="shared" si="61"/>
        <v>5.1128647499260405</v>
      </c>
      <c r="Q70" s="6">
        <f t="shared" si="61"/>
        <v>5.0218410183052615</v>
      </c>
      <c r="R70" s="6">
        <f t="shared" si="61"/>
        <v>5.0030194751054786</v>
      </c>
      <c r="S70" s="6">
        <f t="shared" si="61"/>
        <v>5.0231914002878737</v>
      </c>
      <c r="T70" s="6">
        <f t="shared" si="61"/>
        <v>5.0646569419154508</v>
      </c>
      <c r="U70" s="3">
        <v>5</v>
      </c>
    </row>
    <row r="71" spans="5:21" x14ac:dyDescent="0.25">
      <c r="E71" s="3">
        <v>0.6</v>
      </c>
      <c r="F71" s="5"/>
      <c r="G71" s="5"/>
      <c r="H71" s="5"/>
      <c r="I71" s="5"/>
      <c r="J71" s="5"/>
      <c r="K71" s="5"/>
      <c r="L71" s="6">
        <f t="shared" si="61"/>
        <v>6.4053009903298985</v>
      </c>
      <c r="M71" s="6">
        <f t="shared" si="61"/>
        <v>5.6806189558891305</v>
      </c>
      <c r="N71" s="6">
        <f t="shared" si="61"/>
        <v>5.14219780038301</v>
      </c>
      <c r="O71" s="6">
        <f t="shared" ref="O71:T71" si="62">(O56^2+O41^2)^0.5</f>
        <v>4.802265289528159</v>
      </c>
      <c r="P71" s="6">
        <f t="shared" si="62"/>
        <v>4.6915207249644348</v>
      </c>
      <c r="Q71" s="6">
        <f t="shared" si="62"/>
        <v>4.7203855055835326</v>
      </c>
      <c r="R71" s="6">
        <f t="shared" si="62"/>
        <v>4.8112231450650986</v>
      </c>
      <c r="S71" s="6">
        <f t="shared" si="62"/>
        <v>4.9254938432704227</v>
      </c>
      <c r="T71" s="6">
        <f t="shared" si="62"/>
        <v>5.0509675821761704</v>
      </c>
      <c r="U71" s="3">
        <v>4</v>
      </c>
    </row>
    <row r="72" spans="5:21" x14ac:dyDescent="0.25">
      <c r="E72" s="3">
        <v>0.4</v>
      </c>
      <c r="F72" s="5"/>
      <c r="G72" s="5"/>
      <c r="H72" s="5"/>
      <c r="I72" s="5"/>
      <c r="J72" s="5"/>
      <c r="K72" s="5"/>
      <c r="L72" s="5"/>
      <c r="M72" s="6">
        <f t="shared" si="61"/>
        <v>5.080749090554745</v>
      </c>
      <c r="N72" s="6">
        <f t="shared" si="61"/>
        <v>4.4815357723178622</v>
      </c>
      <c r="O72" s="6">
        <f t="shared" ref="O72:T72" si="63">(O57^2+O42^2)^0.5</f>
        <v>4.1285971790900238</v>
      </c>
      <c r="P72" s="6">
        <f t="shared" si="63"/>
        <v>4.1801374720908058</v>
      </c>
      <c r="Q72" s="6">
        <f t="shared" si="63"/>
        <v>4.3838287089245895</v>
      </c>
      <c r="R72" s="6">
        <f t="shared" si="63"/>
        <v>4.6089993308903825</v>
      </c>
      <c r="S72" s="6">
        <f t="shared" si="63"/>
        <v>4.8228738407186196</v>
      </c>
      <c r="T72" s="6">
        <f t="shared" si="63"/>
        <v>5.0291129485824753</v>
      </c>
      <c r="U72" s="3">
        <v>3</v>
      </c>
    </row>
    <row r="73" spans="5:21" x14ac:dyDescent="0.25">
      <c r="E73" s="3">
        <v>0.2</v>
      </c>
      <c r="F73" s="5"/>
      <c r="G73" s="5"/>
      <c r="H73" s="5"/>
      <c r="I73" s="5"/>
      <c r="J73" s="5"/>
      <c r="K73" s="5"/>
      <c r="L73" s="5"/>
      <c r="M73" s="5"/>
      <c r="N73" s="6">
        <f t="shared" si="61"/>
        <v>3.8256786964852894</v>
      </c>
      <c r="O73" s="6">
        <f t="shared" ref="O73:T73" si="64">(O58^2+O43^2)^0.5</f>
        <v>3.1815958588834348</v>
      </c>
      <c r="P73" s="6">
        <f t="shared" si="64"/>
        <v>3.610276847773183</v>
      </c>
      <c r="Q73" s="6">
        <f t="shared" si="64"/>
        <v>4.0724814116456631</v>
      </c>
      <c r="R73" s="6">
        <f t="shared" si="64"/>
        <v>4.4403460012854845</v>
      </c>
      <c r="S73" s="6">
        <f t="shared" si="64"/>
        <v>4.7402616285487982</v>
      </c>
      <c r="T73" s="6">
        <f t="shared" si="64"/>
        <v>5.0085352692312046</v>
      </c>
      <c r="U73" s="3">
        <v>2</v>
      </c>
    </row>
    <row r="74" spans="5:21" x14ac:dyDescent="0.25">
      <c r="E74" s="3">
        <v>0</v>
      </c>
      <c r="F74" s="5"/>
      <c r="G74" s="5"/>
      <c r="H74" s="5"/>
      <c r="I74" s="5"/>
      <c r="J74" s="5"/>
      <c r="K74" s="5"/>
      <c r="L74" s="5"/>
      <c r="M74" s="5"/>
      <c r="N74" s="5"/>
      <c r="O74" s="6">
        <f t="shared" ref="O74:T74" si="65">(O59^2+O44^2)^0.5</f>
        <v>2.1831608886071652</v>
      </c>
      <c r="P74" s="6">
        <f t="shared" si="65"/>
        <v>3.2799266771214564</v>
      </c>
      <c r="Q74" s="6">
        <f t="shared" si="65"/>
        <v>3.930669376953678</v>
      </c>
      <c r="R74" s="6">
        <f t="shared" si="65"/>
        <v>4.3712517808378397</v>
      </c>
      <c r="S74" s="6">
        <f t="shared" si="65"/>
        <v>4.7077235159426989</v>
      </c>
      <c r="T74" s="6">
        <f t="shared" si="65"/>
        <v>5</v>
      </c>
      <c r="U74" s="3">
        <v>1</v>
      </c>
    </row>
    <row r="75" spans="5:21" x14ac:dyDescent="0.25">
      <c r="E75" s="3"/>
      <c r="F75" s="3">
        <v>0</v>
      </c>
      <c r="G75" s="3">
        <v>0.2</v>
      </c>
      <c r="H75" s="3">
        <v>0.4</v>
      </c>
      <c r="I75" s="3">
        <v>0.6</v>
      </c>
      <c r="J75" s="3">
        <v>0.8</v>
      </c>
      <c r="K75" s="3">
        <v>1</v>
      </c>
      <c r="L75" s="3">
        <v>1.2</v>
      </c>
      <c r="M75" s="3">
        <v>1.4</v>
      </c>
      <c r="N75" s="3">
        <v>1.6</v>
      </c>
      <c r="O75" s="3">
        <v>1.8</v>
      </c>
      <c r="P75" s="3">
        <v>2</v>
      </c>
      <c r="Q75" s="3">
        <v>2.2000000000000002</v>
      </c>
      <c r="R75" s="3">
        <v>2.4</v>
      </c>
      <c r="S75" s="3">
        <v>2.6</v>
      </c>
      <c r="T75" s="3">
        <v>2.8</v>
      </c>
      <c r="U75" s="3"/>
    </row>
    <row r="87" spans="23:38" x14ac:dyDescent="0.25">
      <c r="W87" s="8">
        <v>2.5</v>
      </c>
      <c r="X87" s="9">
        <v>1</v>
      </c>
      <c r="Y87" s="9">
        <v>2</v>
      </c>
      <c r="Z87" s="9">
        <v>3</v>
      </c>
      <c r="AA87" s="9">
        <v>4</v>
      </c>
      <c r="AB87" s="9">
        <v>5</v>
      </c>
      <c r="AC87" s="9">
        <v>6</v>
      </c>
      <c r="AD87" s="9">
        <v>7</v>
      </c>
      <c r="AE87" s="9">
        <v>8</v>
      </c>
      <c r="AF87" s="9">
        <v>9</v>
      </c>
      <c r="AG87" s="9">
        <v>10</v>
      </c>
      <c r="AH87" s="9">
        <v>11</v>
      </c>
      <c r="AI87" s="9">
        <v>12</v>
      </c>
      <c r="AJ87" s="9">
        <v>13</v>
      </c>
      <c r="AK87" s="9">
        <v>14</v>
      </c>
      <c r="AL87" s="9">
        <v>15</v>
      </c>
    </row>
    <row r="88" spans="23:38" x14ac:dyDescent="0.25">
      <c r="W88" s="10" t="s">
        <v>10</v>
      </c>
      <c r="X88" s="15">
        <v>0</v>
      </c>
      <c r="Y88" s="15">
        <v>0.2</v>
      </c>
      <c r="Z88" s="15">
        <v>0.4</v>
      </c>
      <c r="AA88" s="15">
        <v>0.6</v>
      </c>
      <c r="AB88" s="15">
        <v>0.8</v>
      </c>
      <c r="AC88" s="15">
        <v>1</v>
      </c>
      <c r="AD88" s="15">
        <v>1.2</v>
      </c>
      <c r="AE88" s="15">
        <v>1.4</v>
      </c>
      <c r="AF88" s="15">
        <v>1.6</v>
      </c>
      <c r="AG88" s="15">
        <v>1.8</v>
      </c>
      <c r="AH88" s="15">
        <v>2</v>
      </c>
      <c r="AI88" s="15">
        <v>2.2000000000000002</v>
      </c>
      <c r="AJ88" s="15">
        <v>2.4</v>
      </c>
      <c r="AK88" s="15">
        <v>2.6</v>
      </c>
      <c r="AL88" s="15">
        <v>2.8</v>
      </c>
    </row>
    <row r="89" spans="23:38" x14ac:dyDescent="0.25">
      <c r="W89" s="10" t="s">
        <v>15</v>
      </c>
      <c r="X89" s="11">
        <f>_xlfn.FORECAST.LINEAR(2.5,$E$22:$E$23,F22:F23)</f>
        <v>1.2499999999999998</v>
      </c>
      <c r="Y89" s="11">
        <f t="shared" ref="Y89:AB89" si="66">_xlfn.FORECAST.LINEAR(2.5,$E$22:$E$23,G22:G23)</f>
        <v>1.2460614162290951</v>
      </c>
      <c r="Z89" s="11">
        <f t="shared" si="66"/>
        <v>1.2403375323170083</v>
      </c>
      <c r="AA89" s="11">
        <f t="shared" si="66"/>
        <v>1.2297295679882001</v>
      </c>
      <c r="AB89" s="11">
        <f t="shared" si="66"/>
        <v>1.2063058799671986</v>
      </c>
      <c r="AC89" s="11">
        <f>_xlfn.FORECAST.LINEAR(2.5,$E$23:$E$24,K23:K24)</f>
        <v>1.1342228744670602</v>
      </c>
      <c r="AD89" s="11">
        <f>_xlfn.FORECAST.LINEAR(2.5,$E$23:$E$24,L23:L24)</f>
        <v>1.0363730674883957</v>
      </c>
      <c r="AE89" s="11">
        <f>_xlfn.FORECAST.LINEAR(2.5,$E$24:$E$25,M24:M25)</f>
        <v>0.92700467587402091</v>
      </c>
      <c r="AF89" s="11">
        <f>_xlfn.FORECAST.LINEAR(2.5,$E$24:$E$25,N24:N25)</f>
        <v>0.8243994110535503</v>
      </c>
      <c r="AG89" s="11">
        <f>_xlfn.FORECAST.LINEAR(2.5,$E$25:$E$26,O25:O26)</f>
        <v>0.7297365841092136</v>
      </c>
      <c r="AH89" s="11">
        <f>_xlfn.FORECAST.LINEAR(2.5,$E$25:$E$26,P25:P26)</f>
        <v>0.65485016175756572</v>
      </c>
      <c r="AI89" s="11">
        <f>_xlfn.FORECAST.LINEAR(2.5,$E$25:$E$26,Q25:Q26)</f>
        <v>0.59987721521612236</v>
      </c>
      <c r="AJ89" s="11">
        <f>_xlfn.FORECAST.LINEAR(2.5,$E$26:$E$27,R26:R27)</f>
        <v>0.55755813015892053</v>
      </c>
      <c r="AK89" s="11">
        <f>_xlfn.FORECAST.LINEAR(2.5,$E$26:$E$27,S26:S27)</f>
        <v>0.52603509592791464</v>
      </c>
      <c r="AL89" s="11">
        <f>_xlfn.FORECAST.LINEAR(2.5,$E$26:$E$27,T26:T27)</f>
        <v>0.5</v>
      </c>
    </row>
    <row r="90" spans="23:38" x14ac:dyDescent="0.25">
      <c r="W90" s="12" t="s">
        <v>16</v>
      </c>
      <c r="X90" s="13">
        <v>2.5</v>
      </c>
      <c r="Y90" s="13">
        <v>2.5</v>
      </c>
      <c r="Z90" s="13">
        <v>2.5</v>
      </c>
      <c r="AA90" s="13">
        <v>2.5</v>
      </c>
      <c r="AB90" s="13">
        <v>2.5</v>
      </c>
      <c r="AC90" s="13">
        <v>2.5</v>
      </c>
      <c r="AD90" s="13">
        <v>2.5</v>
      </c>
      <c r="AE90" s="13">
        <v>2.5</v>
      </c>
      <c r="AF90" s="13">
        <v>2.5</v>
      </c>
      <c r="AG90" s="13">
        <v>2.5</v>
      </c>
      <c r="AH90" s="13">
        <v>2.5</v>
      </c>
      <c r="AI90" s="13">
        <v>2.5</v>
      </c>
      <c r="AJ90" s="13">
        <v>2.5</v>
      </c>
      <c r="AK90" s="13">
        <v>2.5</v>
      </c>
      <c r="AL90" s="13">
        <v>2.5</v>
      </c>
    </row>
    <row r="93" spans="23:38" x14ac:dyDescent="0.25">
      <c r="W93" s="8">
        <v>0.5</v>
      </c>
      <c r="X93" s="9">
        <v>1</v>
      </c>
      <c r="Y93" s="9">
        <v>2</v>
      </c>
      <c r="Z93" s="9">
        <v>3</v>
      </c>
      <c r="AA93" s="9">
        <v>4</v>
      </c>
      <c r="AB93" s="9">
        <v>5</v>
      </c>
      <c r="AC93" s="9">
        <v>6</v>
      </c>
      <c r="AD93" s="9">
        <v>7</v>
      </c>
      <c r="AE93" s="9">
        <v>8</v>
      </c>
      <c r="AF93" s="9">
        <v>9</v>
      </c>
      <c r="AG93" s="9">
        <v>10</v>
      </c>
      <c r="AH93" s="9">
        <v>11</v>
      </c>
      <c r="AI93" s="9">
        <v>12</v>
      </c>
      <c r="AJ93" s="9">
        <v>13</v>
      </c>
      <c r="AK93" s="9">
        <v>14</v>
      </c>
      <c r="AL93" s="9">
        <v>15</v>
      </c>
    </row>
    <row r="94" spans="23:38" x14ac:dyDescent="0.25">
      <c r="W94" s="10" t="s">
        <v>10</v>
      </c>
      <c r="X94" s="15">
        <v>0</v>
      </c>
      <c r="Y94" s="15">
        <v>0.2</v>
      </c>
      <c r="Z94" s="15">
        <v>0.4</v>
      </c>
      <c r="AA94" s="15">
        <v>0.6</v>
      </c>
      <c r="AB94" s="15">
        <v>0.8</v>
      </c>
      <c r="AC94" s="15">
        <v>1</v>
      </c>
      <c r="AD94" s="15">
        <v>1.2</v>
      </c>
      <c r="AE94" s="15">
        <v>1.4</v>
      </c>
      <c r="AF94" s="15">
        <v>1.6</v>
      </c>
      <c r="AG94" s="15">
        <v>1.8</v>
      </c>
      <c r="AH94" s="15">
        <v>2</v>
      </c>
      <c r="AI94" s="15">
        <v>2.2000000000000002</v>
      </c>
      <c r="AJ94" s="15">
        <v>2.4</v>
      </c>
      <c r="AK94" s="15">
        <v>2.6</v>
      </c>
      <c r="AL94" s="15">
        <v>2.8</v>
      </c>
    </row>
    <row r="95" spans="23:38" x14ac:dyDescent="0.25">
      <c r="W95" s="10" t="s">
        <v>15</v>
      </c>
      <c r="X95" s="11">
        <f>_xlfn.FORECAST.LINEAR(0.5,$E$23:$E$24,F23:F24)</f>
        <v>1.05</v>
      </c>
      <c r="Y95" s="11">
        <f t="shared" ref="Y95:AB95" si="67">_xlfn.FORECAST.LINEAR(0.5,$E$23:$E$24,G23:G24)</f>
        <v>1.0491298946600744</v>
      </c>
      <c r="Z95" s="11">
        <f t="shared" si="67"/>
        <v>1.04786875673812</v>
      </c>
      <c r="AA95" s="11">
        <f t="shared" si="67"/>
        <v>1.0455760121271813</v>
      </c>
      <c r="AB95" s="11">
        <f t="shared" si="67"/>
        <v>1.041055453938865</v>
      </c>
      <c r="AC95" s="11">
        <f>_xlfn.FORECAST.LINEAR(0.5,$E$24:$E$25,K24:K25)</f>
        <v>0.87533509910182117</v>
      </c>
      <c r="AD95" s="11">
        <f>_xlfn.FORECAST.LINEAR(0.5,$E$25:$E$26,L25:L26)</f>
        <v>0.69983356036979105</v>
      </c>
      <c r="AE95" s="11">
        <f>_xlfn.FORECAST.LINEAR(0.5,$E$26:$E$27,M26:M27)</f>
        <v>0.52521802968659048</v>
      </c>
      <c r="AF95" s="11">
        <f>_xlfn.FORECAST.LINEAR(0.5,$E$27:$E$28,N27:N28)</f>
        <v>0.3591550776965744</v>
      </c>
      <c r="AG95" s="11">
        <f>_xlfn.FORECAST.LINEAR(0.5,$E$27:$E$28,O27:O28)</f>
        <v>0.21938137186602896</v>
      </c>
      <c r="AH95" s="11">
        <f>_xlfn.FORECAST.LINEAR(0.5,$E$28:$E$29,P28:P29)</f>
        <v>0.15244269020096768</v>
      </c>
      <c r="AI95" s="11">
        <f>_xlfn.FORECAST.LINEAR(0.5,$E$28:$E$29,Q28:Q29)</f>
        <v>0.12720497960239655</v>
      </c>
      <c r="AJ95" s="11">
        <f>_xlfn.FORECAST.LINEAR(0.5,$E$28:$E$29,R28:R29)</f>
        <v>0.11438382178443882</v>
      </c>
      <c r="AK95" s="11">
        <f>_xlfn.FORECAST.LINEAR(0.5,$E$28:$E$29,S28:S29)</f>
        <v>0.10620850017293391</v>
      </c>
      <c r="AL95" s="11">
        <f>_xlfn.FORECAST.LINEAR(0.5,$E$28:$E$29,T28:T29)</f>
        <v>0.1</v>
      </c>
    </row>
    <row r="96" spans="23:38" x14ac:dyDescent="0.25">
      <c r="W96" s="12" t="s">
        <v>16</v>
      </c>
      <c r="X96" s="13">
        <v>0.5</v>
      </c>
      <c r="Y96" s="13">
        <v>0.5</v>
      </c>
      <c r="Z96" s="13">
        <v>0.5</v>
      </c>
      <c r="AA96" s="13">
        <v>0.5</v>
      </c>
      <c r="AB96" s="13">
        <v>0.5</v>
      </c>
      <c r="AC96" s="13">
        <v>0.5</v>
      </c>
      <c r="AD96" s="13">
        <v>0.5</v>
      </c>
      <c r="AE96" s="13">
        <v>0.5</v>
      </c>
      <c r="AF96" s="13">
        <v>0.5</v>
      </c>
      <c r="AG96" s="13">
        <v>0.5</v>
      </c>
      <c r="AH96" s="13">
        <v>0.5</v>
      </c>
      <c r="AI96" s="13">
        <v>0.5</v>
      </c>
      <c r="AJ96" s="13">
        <v>0.5</v>
      </c>
      <c r="AK96" s="13">
        <v>0.5</v>
      </c>
      <c r="AL96" s="13">
        <v>0.5</v>
      </c>
    </row>
    <row r="98" spans="23:38" x14ac:dyDescent="0.25">
      <c r="W98" s="8">
        <v>5</v>
      </c>
      <c r="X98" s="9">
        <v>1</v>
      </c>
      <c r="Y98" s="9">
        <v>2</v>
      </c>
      <c r="Z98" s="9">
        <v>3</v>
      </c>
      <c r="AA98" s="9">
        <v>4</v>
      </c>
      <c r="AB98" s="9">
        <v>5</v>
      </c>
      <c r="AC98" s="9">
        <v>6</v>
      </c>
      <c r="AD98" s="9">
        <v>7</v>
      </c>
      <c r="AE98" s="9">
        <v>8</v>
      </c>
      <c r="AF98" s="9">
        <v>9</v>
      </c>
      <c r="AG98" s="9">
        <v>10</v>
      </c>
      <c r="AH98" s="9">
        <v>11</v>
      </c>
      <c r="AI98" s="9">
        <v>12</v>
      </c>
      <c r="AJ98" s="9">
        <v>13</v>
      </c>
      <c r="AK98" s="9">
        <v>14</v>
      </c>
      <c r="AL98" s="9">
        <v>15</v>
      </c>
    </row>
    <row r="99" spans="23:38" x14ac:dyDescent="0.25">
      <c r="W99" s="10" t="s">
        <v>10</v>
      </c>
      <c r="X99" s="15">
        <v>0</v>
      </c>
      <c r="Y99" s="15">
        <v>0.2</v>
      </c>
      <c r="Z99" s="15">
        <v>0.4</v>
      </c>
      <c r="AA99" s="15">
        <v>0.6</v>
      </c>
      <c r="AB99" s="15">
        <v>0.8</v>
      </c>
      <c r="AC99" s="15">
        <v>1</v>
      </c>
      <c r="AD99" s="15">
        <v>1.2</v>
      </c>
      <c r="AE99" s="15">
        <v>1.4</v>
      </c>
      <c r="AF99" s="15">
        <v>1.6</v>
      </c>
      <c r="AG99" s="15">
        <v>1.8</v>
      </c>
      <c r="AH99" s="15">
        <v>2</v>
      </c>
      <c r="AI99" s="15">
        <v>2.2000000000000002</v>
      </c>
      <c r="AJ99" s="15">
        <v>2.4</v>
      </c>
      <c r="AK99" s="15">
        <v>2.6</v>
      </c>
      <c r="AL99" s="15">
        <v>2.8</v>
      </c>
    </row>
    <row r="100" spans="23:38" x14ac:dyDescent="0.25">
      <c r="W100" s="10" t="s">
        <v>15</v>
      </c>
      <c r="X100" s="11">
        <f>_xlfn.FORECAST.LINEAR(5,$E$21:$E$22,F21:F22)</f>
        <v>1.5</v>
      </c>
      <c r="Y100" s="11">
        <f t="shared" ref="Y100:AB100" si="68">_xlfn.FORECAST.LINEAR(5,$E$21:$E$22,G21:G22)</f>
        <v>1.4949323333062368</v>
      </c>
      <c r="Z100" s="11">
        <f t="shared" si="68"/>
        <v>1.4879345255735488</v>
      </c>
      <c r="AA100" s="11">
        <f t="shared" si="68"/>
        <v>1.4763333400139103</v>
      </c>
      <c r="AB100" s="11">
        <f t="shared" si="68"/>
        <v>1.4555947838013368</v>
      </c>
      <c r="AC100" s="11">
        <f>_xlfn.FORECAST.LINEAR(5,$E$21:$E$22,K21:K22)</f>
        <v>1.4180355343495723</v>
      </c>
      <c r="AD100" s="11">
        <f>_xlfn.FORECAST.LINEAR(5,$E$22:$E$23,L22:L23)</f>
        <v>1.3687684985710189</v>
      </c>
      <c r="AE100" s="11">
        <f t="shared" ref="AE100:AG100" si="69">_xlfn.FORECAST.LINEAR(5,$E$22:$E$23,M22:M23)</f>
        <v>1.3123546315220482</v>
      </c>
      <c r="AF100" s="11">
        <f t="shared" si="69"/>
        <v>1.254956394137636</v>
      </c>
      <c r="AG100" s="11">
        <f t="shared" si="69"/>
        <v>1.2006197114314954</v>
      </c>
      <c r="AH100" s="11">
        <f>_xlfn.FORECAST.LINEAR(5,$E$23:$E$24,P23:P24)</f>
        <v>1.1490306828830925</v>
      </c>
      <c r="AI100" s="11">
        <f t="shared" ref="AI100:AL100" si="70">_xlfn.FORECAST.LINEAR(5,$E$23:$E$24,Q23:Q24)</f>
        <v>1.1044918314342715</v>
      </c>
      <c r="AJ100" s="11">
        <f t="shared" si="70"/>
        <v>1.0661386339734156</v>
      </c>
      <c r="AK100" s="11">
        <f t="shared" si="70"/>
        <v>1.0321108559187469</v>
      </c>
      <c r="AL100" s="11">
        <f t="shared" si="70"/>
        <v>1.0000000000000002</v>
      </c>
    </row>
    <row r="101" spans="23:38" x14ac:dyDescent="0.25">
      <c r="W101" s="12" t="s">
        <v>16</v>
      </c>
      <c r="X101" s="13">
        <v>5</v>
      </c>
      <c r="Y101" s="13">
        <v>5</v>
      </c>
      <c r="Z101" s="13">
        <v>5</v>
      </c>
      <c r="AA101" s="13">
        <v>5</v>
      </c>
      <c r="AB101" s="13">
        <v>5</v>
      </c>
      <c r="AC101" s="13">
        <v>5</v>
      </c>
      <c r="AD101" s="13">
        <v>5</v>
      </c>
      <c r="AE101" s="13">
        <v>5</v>
      </c>
      <c r="AF101" s="13">
        <v>5</v>
      </c>
      <c r="AG101" s="13">
        <v>5</v>
      </c>
      <c r="AH101" s="13">
        <v>5</v>
      </c>
      <c r="AI101" s="13">
        <v>5</v>
      </c>
      <c r="AJ101" s="13">
        <v>5</v>
      </c>
      <c r="AK101" s="13">
        <v>5</v>
      </c>
      <c r="AL101" s="13">
        <v>5</v>
      </c>
    </row>
    <row r="103" spans="23:38" x14ac:dyDescent="0.25">
      <c r="W103" s="8">
        <v>7.5</v>
      </c>
      <c r="X103" s="9">
        <v>1</v>
      </c>
      <c r="Y103" s="9">
        <v>2</v>
      </c>
      <c r="Z103" s="9">
        <v>3</v>
      </c>
      <c r="AA103" s="9">
        <v>4</v>
      </c>
      <c r="AB103" s="9">
        <v>5</v>
      </c>
      <c r="AC103" s="9">
        <v>6</v>
      </c>
      <c r="AD103" s="9">
        <v>7</v>
      </c>
      <c r="AE103" s="9">
        <v>8</v>
      </c>
      <c r="AF103" s="9">
        <v>9</v>
      </c>
      <c r="AG103" s="9">
        <v>10</v>
      </c>
      <c r="AH103" s="9">
        <v>11</v>
      </c>
      <c r="AI103" s="9">
        <v>12</v>
      </c>
      <c r="AJ103" s="9">
        <v>13</v>
      </c>
      <c r="AK103" s="9">
        <v>14</v>
      </c>
      <c r="AL103" s="9">
        <v>15</v>
      </c>
    </row>
    <row r="104" spans="23:38" x14ac:dyDescent="0.25">
      <c r="W104" s="10" t="s">
        <v>10</v>
      </c>
      <c r="X104" s="15">
        <v>0</v>
      </c>
      <c r="Y104" s="15">
        <v>0.2</v>
      </c>
      <c r="Z104" s="15">
        <v>0.4</v>
      </c>
      <c r="AA104" s="15">
        <v>0.6</v>
      </c>
      <c r="AB104" s="15">
        <v>0.8</v>
      </c>
      <c r="AC104" s="15">
        <v>1</v>
      </c>
      <c r="AD104" s="15">
        <v>1.2</v>
      </c>
      <c r="AE104" s="15">
        <v>1.4</v>
      </c>
      <c r="AF104" s="15">
        <v>1.6</v>
      </c>
      <c r="AG104" s="15">
        <v>1.8</v>
      </c>
      <c r="AH104" s="15">
        <v>2</v>
      </c>
      <c r="AI104" s="15">
        <v>2.2000000000000002</v>
      </c>
      <c r="AJ104" s="15">
        <v>2.4</v>
      </c>
      <c r="AK104" s="15">
        <v>2.6</v>
      </c>
      <c r="AL104" s="15">
        <v>2.8</v>
      </c>
    </row>
    <row r="105" spans="23:38" x14ac:dyDescent="0.25">
      <c r="W105" s="10" t="s">
        <v>15</v>
      </c>
      <c r="X105" s="11">
        <f>_xlfn.FORECAST.LINEAR(7.5,$E$20:$E$21,F20:F21)</f>
        <v>1.7500000000000002</v>
      </c>
      <c r="Y105" s="11">
        <f t="shared" ref="Y105:AG105" si="71">_xlfn.FORECAST.LINEAR(7.5,$E$20:$E$21,G20:G21)</f>
        <v>1.7466276886374463</v>
      </c>
      <c r="Z105" s="11">
        <f t="shared" si="71"/>
        <v>1.7421192905010556</v>
      </c>
      <c r="AA105" s="11">
        <f t="shared" si="71"/>
        <v>1.7351410934325795</v>
      </c>
      <c r="AB105" s="11">
        <f t="shared" si="71"/>
        <v>1.7239931165748312</v>
      </c>
      <c r="AC105" s="11">
        <f t="shared" si="71"/>
        <v>1.7070632154347272</v>
      </c>
      <c r="AD105" s="11">
        <f t="shared" si="71"/>
        <v>1.6853700517740737</v>
      </c>
      <c r="AE105" s="11">
        <f t="shared" si="71"/>
        <v>1.6607519906119832</v>
      </c>
      <c r="AF105" s="11">
        <f t="shared" si="71"/>
        <v>1.6349995652331901</v>
      </c>
      <c r="AG105" s="11">
        <f t="shared" si="71"/>
        <v>1.6095247400596546</v>
      </c>
      <c r="AH105" s="11">
        <f>_xlfn.FORECAST.LINEAR(7.5,$E$21:$E$22,P21:P22)</f>
        <v>1.5849348926567199</v>
      </c>
      <c r="AI105" s="11">
        <f t="shared" ref="AI105:AL105" si="72">_xlfn.FORECAST.LINEAR(7.5,$E$21:$E$22,Q21:Q22)</f>
        <v>1.5619001781409563</v>
      </c>
      <c r="AJ105" s="11">
        <f t="shared" si="72"/>
        <v>1.5405530579846973</v>
      </c>
      <c r="AK105" s="11">
        <f t="shared" si="72"/>
        <v>1.5202756684868468</v>
      </c>
      <c r="AL105" s="11">
        <f t="shared" si="72"/>
        <v>1.5</v>
      </c>
    </row>
    <row r="106" spans="23:38" x14ac:dyDescent="0.25">
      <c r="W106" s="12" t="s">
        <v>16</v>
      </c>
      <c r="X106" s="13">
        <v>7.5</v>
      </c>
      <c r="Y106" s="13">
        <v>7.5</v>
      </c>
      <c r="Z106" s="13">
        <v>7.5</v>
      </c>
      <c r="AA106" s="13">
        <v>7.5</v>
      </c>
      <c r="AB106" s="13">
        <v>7.5</v>
      </c>
      <c r="AC106" s="13">
        <v>7.5</v>
      </c>
      <c r="AD106" s="13">
        <v>7.5</v>
      </c>
      <c r="AE106" s="13">
        <v>7.5</v>
      </c>
      <c r="AF106" s="13">
        <v>7.5</v>
      </c>
      <c r="AG106" s="13">
        <v>7.5</v>
      </c>
      <c r="AH106" s="13">
        <v>7.5</v>
      </c>
      <c r="AI106" s="13">
        <v>7.5</v>
      </c>
      <c r="AJ106" s="13">
        <v>7.5</v>
      </c>
      <c r="AK106" s="13">
        <v>7.5</v>
      </c>
      <c r="AL106" s="13">
        <v>7.5</v>
      </c>
    </row>
    <row r="108" spans="23:38" x14ac:dyDescent="0.25">
      <c r="W108" s="8">
        <v>9.5</v>
      </c>
      <c r="X108" s="9">
        <v>1</v>
      </c>
      <c r="Y108" s="9">
        <v>2</v>
      </c>
      <c r="Z108" s="9">
        <v>3</v>
      </c>
      <c r="AA108" s="9">
        <v>4</v>
      </c>
      <c r="AB108" s="9">
        <v>5</v>
      </c>
      <c r="AC108" s="9">
        <v>6</v>
      </c>
      <c r="AD108" s="9">
        <v>7</v>
      </c>
      <c r="AE108" s="9">
        <v>8</v>
      </c>
      <c r="AF108" s="9">
        <v>9</v>
      </c>
      <c r="AG108" s="9">
        <v>10</v>
      </c>
      <c r="AH108" s="9">
        <v>11</v>
      </c>
      <c r="AI108" s="9">
        <v>12</v>
      </c>
      <c r="AJ108" s="9">
        <v>13</v>
      </c>
      <c r="AK108" s="9">
        <v>14</v>
      </c>
      <c r="AL108" s="9">
        <v>15</v>
      </c>
    </row>
    <row r="109" spans="23:38" x14ac:dyDescent="0.25">
      <c r="W109" s="10" t="s">
        <v>10</v>
      </c>
      <c r="X109" s="15">
        <v>0</v>
      </c>
      <c r="Y109" s="15">
        <v>0.2</v>
      </c>
      <c r="Z109" s="15">
        <v>0.4</v>
      </c>
      <c r="AA109" s="15">
        <v>0.6</v>
      </c>
      <c r="AB109" s="15">
        <v>0.8</v>
      </c>
      <c r="AC109" s="15">
        <v>1</v>
      </c>
      <c r="AD109" s="15">
        <v>1.2</v>
      </c>
      <c r="AE109" s="15">
        <v>1.4</v>
      </c>
      <c r="AF109" s="15">
        <v>1.6</v>
      </c>
      <c r="AG109" s="15">
        <v>1.8</v>
      </c>
      <c r="AH109" s="15">
        <v>2</v>
      </c>
      <c r="AI109" s="15">
        <v>2.2000000000000002</v>
      </c>
      <c r="AJ109" s="15">
        <v>2.4</v>
      </c>
      <c r="AK109" s="15">
        <v>2.6</v>
      </c>
      <c r="AL109" s="15">
        <v>2.8</v>
      </c>
    </row>
    <row r="110" spans="23:38" x14ac:dyDescent="0.25">
      <c r="W110" s="10" t="s">
        <v>15</v>
      </c>
      <c r="X110" s="11">
        <f>_xlfn.FORECAST.LINEAR(9.5,$E$19:$E$20,F19:F20)</f>
        <v>1.9499999999999997</v>
      </c>
      <c r="Y110" s="11">
        <f t="shared" ref="Y110:AL110" si="73">_xlfn.FORECAST.LINEAR(9.5,$E$19:$E$20,G19:G20)</f>
        <v>1.9492812626278475</v>
      </c>
      <c r="Z110" s="11">
        <f t="shared" si="73"/>
        <v>1.9483240799768198</v>
      </c>
      <c r="AA110" s="11">
        <f t="shared" si="73"/>
        <v>1.9468632296705</v>
      </c>
      <c r="AB110" s="11">
        <f t="shared" si="73"/>
        <v>1.9445920810899722</v>
      </c>
      <c r="AC110" s="11">
        <f t="shared" si="73"/>
        <v>1.9412846303246549</v>
      </c>
      <c r="AD110" s="11">
        <f t="shared" si="73"/>
        <v>1.937096363138638</v>
      </c>
      <c r="AE110" s="11">
        <f t="shared" si="73"/>
        <v>1.9323354910422728</v>
      </c>
      <c r="AF110" s="11">
        <f t="shared" si="73"/>
        <v>1.9273172278163329</v>
      </c>
      <c r="AG110" s="11">
        <f t="shared" si="73"/>
        <v>1.9223015312673912</v>
      </c>
      <c r="AH110" s="11">
        <f t="shared" si="73"/>
        <v>1.9174646763952967</v>
      </c>
      <c r="AI110" s="11">
        <f t="shared" si="73"/>
        <v>1.9128857770235865</v>
      </c>
      <c r="AJ110" s="11">
        <f t="shared" si="73"/>
        <v>1.908543470714174</v>
      </c>
      <c r="AK110" s="11">
        <f t="shared" si="73"/>
        <v>1.9043191715397745</v>
      </c>
      <c r="AL110" s="11">
        <f t="shared" si="73"/>
        <v>1.9</v>
      </c>
    </row>
    <row r="111" spans="23:38" x14ac:dyDescent="0.25">
      <c r="W111" s="12" t="s">
        <v>16</v>
      </c>
      <c r="X111" s="13">
        <v>9.5</v>
      </c>
      <c r="Y111" s="13">
        <v>9.5</v>
      </c>
      <c r="Z111" s="13">
        <v>9.5</v>
      </c>
      <c r="AA111" s="13">
        <v>9.5</v>
      </c>
      <c r="AB111" s="13">
        <v>9.5</v>
      </c>
      <c r="AC111" s="13">
        <v>9.5</v>
      </c>
      <c r="AD111" s="13">
        <v>9.5</v>
      </c>
      <c r="AE111" s="13">
        <v>9.5</v>
      </c>
      <c r="AF111" s="13">
        <v>9.5</v>
      </c>
      <c r="AG111" s="13">
        <v>9.5</v>
      </c>
      <c r="AH111" s="13">
        <v>9.5</v>
      </c>
      <c r="AI111" s="13">
        <v>9.5</v>
      </c>
      <c r="AJ111" s="13">
        <v>9.5</v>
      </c>
      <c r="AK111" s="13">
        <v>9.5</v>
      </c>
      <c r="AL111" s="13">
        <v>9.5</v>
      </c>
    </row>
  </sheetData>
  <conditionalFormatting sqref="F19:T2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T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9:T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4:T7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 sizeWithCells="1">
                  <from>
                    <xdr:col>1</xdr:col>
                    <xdr:colOff>9525</xdr:colOff>
                    <xdr:row>17</xdr:row>
                    <xdr:rowOff>38100</xdr:rowOff>
                  </from>
                  <to>
                    <xdr:col>3</xdr:col>
                    <xdr:colOff>247650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2021-05-23T07:48:17Z</dcterms:modified>
</cp:coreProperties>
</file>
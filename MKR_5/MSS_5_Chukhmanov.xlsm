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trlProps/ctrlProp3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4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5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trlProps/ctrlProp4.xml" ContentType="application/vnd.ms-excel.controlproperti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8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9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0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 activeTab="2"/>
  </bookViews>
  <sheets>
    <sheet name="ro_const" sheetId="1" r:id="rId1"/>
    <sheet name="ro_var" sheetId="2" r:id="rId2"/>
    <sheet name="M=1,5(ro_var)" sheetId="4" r:id="rId3"/>
    <sheet name="M=1,5(ro_const)" sheetId="5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5" l="1"/>
  <c r="Q13" i="5"/>
  <c r="Q17" i="5" s="1"/>
  <c r="Q18" i="5" s="1"/>
  <c r="Q19" i="5" s="1"/>
  <c r="P13" i="5"/>
  <c r="P17" i="5" s="1"/>
  <c r="P18" i="5" s="1"/>
  <c r="O13" i="5"/>
  <c r="O17" i="5" s="1"/>
  <c r="O18" i="5" s="1"/>
  <c r="N13" i="5"/>
  <c r="N17" i="5" s="1"/>
  <c r="N18" i="5" s="1"/>
  <c r="M13" i="5"/>
  <c r="M17" i="5" s="1"/>
  <c r="M18" i="5" s="1"/>
  <c r="L13" i="5"/>
  <c r="L17" i="5" s="1"/>
  <c r="L18" i="5" s="1"/>
  <c r="L19" i="5" s="1"/>
  <c r="K13" i="5"/>
  <c r="K17" i="5" s="1"/>
  <c r="K18" i="5" s="1"/>
  <c r="K19" i="5" s="1"/>
  <c r="J13" i="5"/>
  <c r="J10" i="5" s="1"/>
  <c r="I13" i="5"/>
  <c r="I17" i="5" s="1"/>
  <c r="I18" i="5" s="1"/>
  <c r="I19" i="5" s="1"/>
  <c r="H13" i="5"/>
  <c r="G13" i="5"/>
  <c r="G17" i="5" s="1"/>
  <c r="G18" i="5" s="1"/>
  <c r="Q4" i="5"/>
  <c r="P4" i="5"/>
  <c r="O4" i="5"/>
  <c r="N4" i="5"/>
  <c r="M4" i="5"/>
  <c r="L4" i="5"/>
  <c r="K4" i="5"/>
  <c r="J4" i="5"/>
  <c r="I4" i="5"/>
  <c r="H4" i="5"/>
  <c r="G4" i="5"/>
  <c r="Q14" i="4"/>
  <c r="Q13" i="4"/>
  <c r="P13" i="4"/>
  <c r="P17" i="4" s="1"/>
  <c r="P18" i="4" s="1"/>
  <c r="O13" i="4"/>
  <c r="O17" i="4" s="1"/>
  <c r="O18" i="4" s="1"/>
  <c r="N13" i="4"/>
  <c r="N17" i="4" s="1"/>
  <c r="N18" i="4" s="1"/>
  <c r="M13" i="4"/>
  <c r="M17" i="4" s="1"/>
  <c r="M18" i="4" s="1"/>
  <c r="L13" i="4"/>
  <c r="L17" i="4" s="1"/>
  <c r="L18" i="4" s="1"/>
  <c r="K13" i="4"/>
  <c r="K17" i="4" s="1"/>
  <c r="K18" i="4" s="1"/>
  <c r="J13" i="4"/>
  <c r="J17" i="4" s="1"/>
  <c r="J18" i="4" s="1"/>
  <c r="J19" i="4" s="1"/>
  <c r="I13" i="4"/>
  <c r="H13" i="4"/>
  <c r="H17" i="4" s="1"/>
  <c r="H18" i="4" s="1"/>
  <c r="Q4" i="4"/>
  <c r="P4" i="4"/>
  <c r="O4" i="4"/>
  <c r="N4" i="4"/>
  <c r="M4" i="4"/>
  <c r="L4" i="4"/>
  <c r="K4" i="4"/>
  <c r="J4" i="4"/>
  <c r="I4" i="4"/>
  <c r="H4" i="4"/>
  <c r="G4" i="4"/>
  <c r="G13" i="4" l="1"/>
  <c r="G10" i="4" s="1"/>
  <c r="J21" i="4"/>
  <c r="J20" i="4" s="1"/>
  <c r="Q10" i="5"/>
  <c r="K10" i="5"/>
  <c r="J11" i="5" s="1"/>
  <c r="J14" i="5" s="1"/>
  <c r="L10" i="5"/>
  <c r="J17" i="5"/>
  <c r="J18" i="5" s="1"/>
  <c r="J19" i="5" s="1"/>
  <c r="I10" i="5"/>
  <c r="I11" i="5" s="1"/>
  <c r="I14" i="5" s="1"/>
  <c r="G10" i="5"/>
  <c r="O10" i="5"/>
  <c r="H10" i="5"/>
  <c r="P10" i="5"/>
  <c r="M10" i="5"/>
  <c r="H17" i="5"/>
  <c r="H18" i="5" s="1"/>
  <c r="H19" i="5" s="1"/>
  <c r="N10" i="5"/>
  <c r="P19" i="5"/>
  <c r="M19" i="5"/>
  <c r="G14" i="5"/>
  <c r="N19" i="5"/>
  <c r="G19" i="5"/>
  <c r="O19" i="5"/>
  <c r="P10" i="4"/>
  <c r="N10" i="4"/>
  <c r="O10" i="4"/>
  <c r="I10" i="4"/>
  <c r="Q10" i="4"/>
  <c r="J10" i="4"/>
  <c r="K10" i="4"/>
  <c r="L10" i="4"/>
  <c r="M10" i="4"/>
  <c r="H19" i="4"/>
  <c r="P19" i="4"/>
  <c r="I17" i="4"/>
  <c r="I18" i="4" s="1"/>
  <c r="I19" i="4" s="1"/>
  <c r="Q17" i="4"/>
  <c r="K19" i="4"/>
  <c r="L19" i="4"/>
  <c r="H10" i="4"/>
  <c r="M19" i="4"/>
  <c r="N19" i="4"/>
  <c r="O19" i="4"/>
  <c r="Q14" i="2"/>
  <c r="Q13" i="2"/>
  <c r="Q10" i="2" s="1"/>
  <c r="P13" i="2"/>
  <c r="P10" i="2" s="1"/>
  <c r="O13" i="2"/>
  <c r="N13" i="2"/>
  <c r="M13" i="2"/>
  <c r="L13" i="2"/>
  <c r="K13" i="2"/>
  <c r="J13" i="2"/>
  <c r="I13" i="2"/>
  <c r="I10" i="2" s="1"/>
  <c r="H13" i="2"/>
  <c r="H10" i="2" s="1"/>
  <c r="Q4" i="2"/>
  <c r="P4" i="2"/>
  <c r="O4" i="2"/>
  <c r="N4" i="2"/>
  <c r="M4" i="2"/>
  <c r="L4" i="2"/>
  <c r="K4" i="2"/>
  <c r="J4" i="2"/>
  <c r="I4" i="2"/>
  <c r="H4" i="2"/>
  <c r="G4" i="2"/>
  <c r="N21" i="4" l="1"/>
  <c r="N20" i="4" s="1"/>
  <c r="O21" i="4"/>
  <c r="O20" i="4" s="1"/>
  <c r="P21" i="4"/>
  <c r="P20" i="4" s="1"/>
  <c r="M21" i="4"/>
  <c r="M20" i="4" s="1"/>
  <c r="L21" i="4"/>
  <c r="L20" i="4" s="1"/>
  <c r="K21" i="4"/>
  <c r="K20" i="4" s="1"/>
  <c r="I21" i="4"/>
  <c r="I20" i="4" s="1"/>
  <c r="J22" i="4"/>
  <c r="H21" i="4"/>
  <c r="H20" i="4" s="1"/>
  <c r="L17" i="2"/>
  <c r="L18" i="2" s="1"/>
  <c r="L19" i="2" s="1"/>
  <c r="L10" i="2"/>
  <c r="J17" i="2"/>
  <c r="J18" i="2" s="1"/>
  <c r="J19" i="2" s="1"/>
  <c r="J10" i="2"/>
  <c r="M17" i="2"/>
  <c r="M18" i="2" s="1"/>
  <c r="M19" i="2" s="1"/>
  <c r="M10" i="2"/>
  <c r="N17" i="2"/>
  <c r="N18" i="2" s="1"/>
  <c r="N19" i="2" s="1"/>
  <c r="N10" i="2"/>
  <c r="K17" i="2"/>
  <c r="K18" i="2" s="1"/>
  <c r="K19" i="2" s="1"/>
  <c r="K10" i="2"/>
  <c r="O17" i="2"/>
  <c r="O18" i="2" s="1"/>
  <c r="O19" i="2" s="1"/>
  <c r="O10" i="2"/>
  <c r="G17" i="4"/>
  <c r="G18" i="4" s="1"/>
  <c r="G19" i="4" s="1"/>
  <c r="P11" i="5"/>
  <c r="P14" i="5" s="1"/>
  <c r="H11" i="5"/>
  <c r="H14" i="5" s="1"/>
  <c r="L11" i="5"/>
  <c r="L14" i="5" s="1"/>
  <c r="K11" i="5"/>
  <c r="K14" i="5" s="1"/>
  <c r="N11" i="5"/>
  <c r="N14" i="5" s="1"/>
  <c r="M11" i="5"/>
  <c r="M14" i="5" s="1"/>
  <c r="O11" i="5"/>
  <c r="O14" i="5" s="1"/>
  <c r="O11" i="4"/>
  <c r="O14" i="4" s="1"/>
  <c r="M11" i="4"/>
  <c r="M14" i="4" s="1"/>
  <c r="I11" i="4"/>
  <c r="I14" i="4" s="1"/>
  <c r="P11" i="4"/>
  <c r="P14" i="4" s="1"/>
  <c r="H11" i="4"/>
  <c r="H14" i="4" s="1"/>
  <c r="N11" i="4"/>
  <c r="N14" i="4" s="1"/>
  <c r="J11" i="4"/>
  <c r="J14" i="4" s="1"/>
  <c r="K11" i="4"/>
  <c r="K14" i="4" s="1"/>
  <c r="L11" i="4"/>
  <c r="L14" i="4" s="1"/>
  <c r="Q15" i="4"/>
  <c r="Q18" i="4"/>
  <c r="Q19" i="4" s="1"/>
  <c r="H17" i="2"/>
  <c r="H18" i="2" s="1"/>
  <c r="H19" i="2" s="1"/>
  <c r="P17" i="2"/>
  <c r="P18" i="2" s="1"/>
  <c r="P19" i="2" s="1"/>
  <c r="G13" i="2"/>
  <c r="G10" i="2" s="1"/>
  <c r="I17" i="2"/>
  <c r="I18" i="2" s="1"/>
  <c r="I19" i="2" s="1"/>
  <c r="Q17" i="2"/>
  <c r="Q14" i="1"/>
  <c r="G13" i="1"/>
  <c r="G17" i="1" s="1"/>
  <c r="G18" i="1" s="1"/>
  <c r="I13" i="1"/>
  <c r="I17" i="1" s="1"/>
  <c r="I18" i="1" s="1"/>
  <c r="J13" i="1"/>
  <c r="K13" i="1"/>
  <c r="L13" i="1"/>
  <c r="L17" i="1" s="1"/>
  <c r="L18" i="1" s="1"/>
  <c r="L19" i="1" s="1"/>
  <c r="M13" i="1"/>
  <c r="M17" i="1" s="1"/>
  <c r="M18" i="1" s="1"/>
  <c r="M19" i="1" s="1"/>
  <c r="N13" i="1"/>
  <c r="N17" i="1" s="1"/>
  <c r="N18" i="1" s="1"/>
  <c r="O13" i="1"/>
  <c r="O17" i="1" s="1"/>
  <c r="O18" i="1" s="1"/>
  <c r="P13" i="1"/>
  <c r="P17" i="1" s="1"/>
  <c r="P18" i="1" s="1"/>
  <c r="Q13" i="1"/>
  <c r="Q17" i="1" s="1"/>
  <c r="Q18" i="1" s="1"/>
  <c r="H13" i="1"/>
  <c r="H10" i="1" s="1"/>
  <c r="G4" i="1"/>
  <c r="H4" i="1"/>
  <c r="I4" i="1"/>
  <c r="J4" i="1"/>
  <c r="K4" i="1"/>
  <c r="L4" i="1"/>
  <c r="M4" i="1"/>
  <c r="N4" i="1"/>
  <c r="O4" i="1"/>
  <c r="P4" i="1"/>
  <c r="Q4" i="1"/>
  <c r="H22" i="4" l="1"/>
  <c r="H23" i="4" s="1"/>
  <c r="M22" i="4"/>
  <c r="M23" i="4" s="1"/>
  <c r="I22" i="4"/>
  <c r="I23" i="4" s="1"/>
  <c r="P22" i="4"/>
  <c r="P23" i="4" s="1"/>
  <c r="K22" i="4"/>
  <c r="K23" i="4" s="1"/>
  <c r="O22" i="4"/>
  <c r="O23" i="4" s="1"/>
  <c r="Q21" i="4"/>
  <c r="L22" i="4"/>
  <c r="L23" i="4" s="1"/>
  <c r="N22" i="4"/>
  <c r="N23" i="4" s="1"/>
  <c r="G21" i="4"/>
  <c r="G20" i="4" s="1"/>
  <c r="K15" i="4"/>
  <c r="P15" i="4"/>
  <c r="M15" i="4"/>
  <c r="O15" i="4"/>
  <c r="J15" i="4"/>
  <c r="J23" i="4"/>
  <c r="I15" i="4"/>
  <c r="L15" i="4"/>
  <c r="N15" i="4"/>
  <c r="H15" i="4"/>
  <c r="H11" i="2"/>
  <c r="H14" i="2" s="1"/>
  <c r="H15" i="2" s="1"/>
  <c r="M11" i="2"/>
  <c r="M14" i="2" s="1"/>
  <c r="M15" i="2" s="1"/>
  <c r="P11" i="2"/>
  <c r="P14" i="2" s="1"/>
  <c r="P15" i="2" s="1"/>
  <c r="K11" i="2"/>
  <c r="K14" i="2" s="1"/>
  <c r="K15" i="2" s="1"/>
  <c r="O11" i="2"/>
  <c r="O14" i="2" s="1"/>
  <c r="O15" i="2" s="1"/>
  <c r="L11" i="2"/>
  <c r="L14" i="2" s="1"/>
  <c r="L15" i="2" s="1"/>
  <c r="N11" i="2"/>
  <c r="N14" i="2" s="1"/>
  <c r="N15" i="2" s="1"/>
  <c r="J11" i="2"/>
  <c r="J14" i="2" s="1"/>
  <c r="J15" i="2" s="1"/>
  <c r="Q18" i="2"/>
  <c r="Q19" i="2" s="1"/>
  <c r="Q15" i="2"/>
  <c r="I11" i="2"/>
  <c r="I14" i="2" s="1"/>
  <c r="I15" i="2" s="1"/>
  <c r="G17" i="2"/>
  <c r="G18" i="2" s="1"/>
  <c r="G19" i="2" s="1"/>
  <c r="G14" i="2"/>
  <c r="L10" i="1"/>
  <c r="I10" i="1"/>
  <c r="H11" i="1" s="1"/>
  <c r="H14" i="1" s="1"/>
  <c r="M10" i="1"/>
  <c r="N19" i="1"/>
  <c r="G10" i="1"/>
  <c r="G19" i="1"/>
  <c r="G14" i="1"/>
  <c r="Q10" i="1"/>
  <c r="K17" i="1"/>
  <c r="K18" i="1" s="1"/>
  <c r="K19" i="1" s="1"/>
  <c r="Q19" i="1"/>
  <c r="I19" i="1"/>
  <c r="P10" i="1"/>
  <c r="J17" i="1"/>
  <c r="J18" i="1" s="1"/>
  <c r="J19" i="1" s="1"/>
  <c r="P19" i="1"/>
  <c r="O10" i="1"/>
  <c r="O19" i="1"/>
  <c r="N10" i="1"/>
  <c r="H17" i="1"/>
  <c r="H18" i="1" s="1"/>
  <c r="H19" i="1" s="1"/>
  <c r="K10" i="1"/>
  <c r="J10" i="1"/>
  <c r="Q20" i="4" l="1"/>
  <c r="Q22" i="4"/>
  <c r="Q23" i="4" s="1"/>
  <c r="G22" i="4"/>
  <c r="G14" i="4" s="1"/>
  <c r="G23" i="4" s="1"/>
  <c r="G15" i="2"/>
  <c r="K11" i="1"/>
  <c r="K14" i="1" s="1"/>
  <c r="L11" i="1"/>
  <c r="L14" i="1" s="1"/>
  <c r="J11" i="1"/>
  <c r="J14" i="1" s="1"/>
  <c r="M11" i="1"/>
  <c r="M14" i="1" s="1"/>
  <c r="O11" i="1"/>
  <c r="O14" i="1" s="1"/>
  <c r="N11" i="1"/>
  <c r="N14" i="1" s="1"/>
  <c r="I11" i="1"/>
  <c r="I14" i="1" s="1"/>
  <c r="P11" i="1"/>
  <c r="P14" i="1" s="1"/>
  <c r="G15" i="4" l="1"/>
</calcChain>
</file>

<file path=xl/sharedStrings.xml><?xml version="1.0" encoding="utf-8"?>
<sst xmlns="http://schemas.openxmlformats.org/spreadsheetml/2006/main" count="126" uniqueCount="32">
  <si>
    <t>x</t>
  </si>
  <si>
    <t>U</t>
  </si>
  <si>
    <t>p</t>
  </si>
  <si>
    <t>Cp</t>
  </si>
  <si>
    <t>L</t>
  </si>
  <si>
    <t>dx</t>
  </si>
  <si>
    <t>k</t>
  </si>
  <si>
    <t>R</t>
  </si>
  <si>
    <t>p*</t>
  </si>
  <si>
    <t>T*</t>
  </si>
  <si>
    <t>n</t>
  </si>
  <si>
    <t>№</t>
  </si>
  <si>
    <t>A</t>
  </si>
  <si>
    <t>ro</t>
  </si>
  <si>
    <t>G</t>
  </si>
  <si>
    <t>dp</t>
  </si>
  <si>
    <t>T</t>
  </si>
  <si>
    <t>c</t>
  </si>
  <si>
    <t>M</t>
  </si>
  <si>
    <t>3D</t>
  </si>
  <si>
    <t>Air, density Ideal gas,  Inviscid</t>
  </si>
  <si>
    <t>Шаг</t>
  </si>
  <si>
    <t>lambda</t>
  </si>
  <si>
    <t>pi(lambda)</t>
  </si>
  <si>
    <t>Tau(lambda)</t>
  </si>
  <si>
    <t xml:space="preserve">На срезе сужающегося сопла масимально достижимая скорость потока М=1. </t>
  </si>
  <si>
    <t xml:space="preserve">Это объясняется связью скорости и изменения плотности. </t>
  </si>
  <si>
    <t>Поэтому в модели с постоянной плотностью расхождения 1Dи 3D расчетов незначительны.</t>
  </si>
  <si>
    <t>Давление потока на срезе в таком случае будет выше, чем противодавление (атмосферное давление).</t>
  </si>
  <si>
    <t>Поэтому имеют место расхождения расчетов 1D и 3D моделей.</t>
  </si>
  <si>
    <t xml:space="preserve">В модели с изменяемой плотностью при достижении критической скорости на срезе сопла, происходит его запирание. </t>
  </si>
  <si>
    <t xml:space="preserve">В данной модели на выходной границе давление принято равным атмосферному.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</si>
</sst>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0"/>
    <numFmt numFmtId="166" formatCode="0.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2" fontId="0" fillId="0" borderId="0" xfId="0" applyNumberFormat="1"/>
    <xf numFmtId="2" fontId="0" fillId="0" borderId="1" xfId="0" applyNumberFormat="1" applyBorder="1"/>
    <xf numFmtId="2" fontId="0" fillId="2" borderId="1" xfId="0" applyNumberFormat="1" applyFill="1" applyBorder="1"/>
    <xf numFmtId="2" fontId="0" fillId="3" borderId="1" xfId="0" applyNumberFormat="1" applyFill="1" applyBorder="1"/>
    <xf numFmtId="164" fontId="0" fillId="0" borderId="1" xfId="0" applyNumberFormat="1" applyBorder="1"/>
    <xf numFmtId="165" fontId="0" fillId="0" borderId="1" xfId="0" applyNumberFormat="1" applyBorder="1"/>
    <xf numFmtId="0" fontId="0" fillId="0" borderId="1" xfId="0" applyBorder="1"/>
    <xf numFmtId="166" fontId="0" fillId="0" borderId="1" xfId="0" applyNumberFormat="1" applyBorder="1"/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2" xfId="0" applyNumberFormat="1" applyBorder="1" applyAlignment="1"/>
    <xf numFmtId="2" fontId="0" fillId="0" borderId="3" xfId="0" applyNumberFormat="1" applyBorder="1" applyAlignme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ro_const!$G$3:$Q$3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6.8000000000000005E-2</c:v>
                </c:pt>
                <c:pt idx="4">
                  <c:v>6.4000000000000001E-2</c:v>
                </c:pt>
                <c:pt idx="5">
                  <c:v>0.06</c:v>
                </c:pt>
                <c:pt idx="6">
                  <c:v>5.6000000000000001E-2</c:v>
                </c:pt>
                <c:pt idx="7">
                  <c:v>5.1999999999999998E-2</c:v>
                </c:pt>
                <c:pt idx="8">
                  <c:v>4.8000000000000001E-2</c:v>
                </c:pt>
                <c:pt idx="9">
                  <c:v>4.3999999999999997E-2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19-4EF2-922F-344873DE2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ro_const!$G$10:$Q$10</c:f>
              <c:numCache>
                <c:formatCode>0.00000</c:formatCode>
                <c:ptCount val="11"/>
                <c:pt idx="0">
                  <c:v>1.3682773293567292</c:v>
                </c:pt>
                <c:pt idx="1">
                  <c:v>1.3682773238487098</c:v>
                </c:pt>
                <c:pt idx="2">
                  <c:v>1.3682770197255008</c:v>
                </c:pt>
                <c:pt idx="3">
                  <c:v>1.368276754836113</c:v>
                </c:pt>
                <c:pt idx="4">
                  <c:v>1.3682765373842638</c:v>
                </c:pt>
                <c:pt idx="5">
                  <c:v>1.3682763728927669</c:v>
                </c:pt>
                <c:pt idx="6">
                  <c:v>1.3682762627696214</c:v>
                </c:pt>
                <c:pt idx="7">
                  <c:v>1.3682762029050117</c:v>
                </c:pt>
                <c:pt idx="8">
                  <c:v>1.3682761828314929</c:v>
                </c:pt>
                <c:pt idx="9">
                  <c:v>1.3682761863775799</c:v>
                </c:pt>
                <c:pt idx="10">
                  <c:v>1.3682761950649371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C1-41A2-A348-5B25BB59F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ro_const!$G$6:$Q$6</c:f>
              <c:numCache>
                <c:formatCode>0.000</c:formatCode>
                <c:ptCount val="11"/>
                <c:pt idx="0">
                  <c:v>133045.9295073009</c:v>
                </c:pt>
                <c:pt idx="1">
                  <c:v>132578.10780883918</c:v>
                </c:pt>
                <c:pt idx="2">
                  <c:v>131967.59661118552</c:v>
                </c:pt>
                <c:pt idx="3">
                  <c:v>131158.84255647365</c:v>
                </c:pt>
                <c:pt idx="4">
                  <c:v>130069.3473696296</c:v>
                </c:pt>
                <c:pt idx="5">
                  <c:v>128573.64252990294</c:v>
                </c:pt>
                <c:pt idx="6">
                  <c:v>126475.70467058716</c:v>
                </c:pt>
                <c:pt idx="7">
                  <c:v>123459.75806418486</c:v>
                </c:pt>
                <c:pt idx="8">
                  <c:v>118998.90666853516</c:v>
                </c:pt>
                <c:pt idx="9">
                  <c:v>112177.34067851237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17-43F4-9F2B-C451036DF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ro_const!$G$5:$Q$5</c:f>
              <c:numCache>
                <c:formatCode>0.000</c:formatCode>
                <c:ptCount val="11"/>
                <c:pt idx="0">
                  <c:v>57.428296774136015</c:v>
                </c:pt>
                <c:pt idx="1">
                  <c:v>63.632461542509908</c:v>
                </c:pt>
                <c:pt idx="2">
                  <c:v>70.899115717335988</c:v>
                </c:pt>
                <c:pt idx="3">
                  <c:v>79.485498364107031</c:v>
                </c:pt>
                <c:pt idx="4">
                  <c:v>89.731661562502339</c:v>
                </c:pt>
                <c:pt idx="5">
                  <c:v>102.09467815277885</c:v>
                </c:pt>
                <c:pt idx="6">
                  <c:v>117.20051390154875</c:v>
                </c:pt>
                <c:pt idx="7">
                  <c:v>135.92485036890346</c:v>
                </c:pt>
                <c:pt idx="8">
                  <c:v>159.5229123014422</c:v>
                </c:pt>
                <c:pt idx="9">
                  <c:v>189.84544983166356</c:v>
                </c:pt>
                <c:pt idx="10">
                  <c:v>229.71299575509255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CF-4A53-B34B-CD99FBF72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ro_var!$G$3:$Q$3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6.8000000000000005E-2</c:v>
                </c:pt>
                <c:pt idx="4">
                  <c:v>6.4000000000000001E-2</c:v>
                </c:pt>
                <c:pt idx="5">
                  <c:v>0.06</c:v>
                </c:pt>
                <c:pt idx="6">
                  <c:v>5.6000000000000001E-2</c:v>
                </c:pt>
                <c:pt idx="7">
                  <c:v>5.1999999999999998E-2</c:v>
                </c:pt>
                <c:pt idx="8">
                  <c:v>4.8000000000000001E-2</c:v>
                </c:pt>
                <c:pt idx="9">
                  <c:v>4.3999999999999997E-2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1F-4C74-BE4B-5B87E798C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ro_var!$G$10:$Q$10</c:f>
              <c:numCache>
                <c:formatCode>0.00000</c:formatCode>
                <c:ptCount val="11"/>
                <c:pt idx="0">
                  <c:v>1.3679789128489381</c:v>
                </c:pt>
                <c:pt idx="1">
                  <c:v>1.3679799053657893</c:v>
                </c:pt>
                <c:pt idx="2">
                  <c:v>1.3680343990380259</c:v>
                </c:pt>
                <c:pt idx="3">
                  <c:v>1.3680822808284849</c:v>
                </c:pt>
                <c:pt idx="4">
                  <c:v>1.3681224543610044</c:v>
                </c:pt>
                <c:pt idx="5">
                  <c:v>1.3681540489240136</c:v>
                </c:pt>
                <c:pt idx="6">
                  <c:v>1.3681765999876081</c:v>
                </c:pt>
                <c:pt idx="7">
                  <c:v>1.3681902764711737</c:v>
                </c:pt>
                <c:pt idx="8">
                  <c:v>1.3681961333125916</c:v>
                </c:pt>
                <c:pt idx="9">
                  <c:v>1.3681963286514474</c:v>
                </c:pt>
                <c:pt idx="10">
                  <c:v>1.3681941895816292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D5-4C09-A7C9-1F6160634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ro_var!$G$6:$Q$6</c:f>
              <c:numCache>
                <c:formatCode>0.000</c:formatCode>
                <c:ptCount val="11"/>
                <c:pt idx="0">
                  <c:v>133571.42493094402</c:v>
                </c:pt>
                <c:pt idx="1">
                  <c:v>133222.71981597415</c:v>
                </c:pt>
                <c:pt idx="2">
                  <c:v>132764.36441804148</c:v>
                </c:pt>
                <c:pt idx="3">
                  <c:v>132151.6263749038</c:v>
                </c:pt>
                <c:pt idx="4">
                  <c:v>131315.86645446732</c:v>
                </c:pt>
                <c:pt idx="5">
                  <c:v>130148.29688724953</c:v>
                </c:pt>
                <c:pt idx="6">
                  <c:v>128468.55027074918</c:v>
                </c:pt>
                <c:pt idx="7">
                  <c:v>125958.90011457432</c:v>
                </c:pt>
                <c:pt idx="8">
                  <c:v>122007.60322068876</c:v>
                </c:pt>
                <c:pt idx="9">
                  <c:v>115244.77245053669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40-4E06-9849-7D5DD91C4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ro_var!$G$5:$Q$5</c:f>
              <c:numCache>
                <c:formatCode>0.000</c:formatCode>
                <c:ptCount val="11"/>
                <c:pt idx="0">
                  <c:v>41.993668588018622</c:v>
                </c:pt>
                <c:pt idx="1">
                  <c:v>46.61907204497701</c:v>
                </c:pt>
                <c:pt idx="2">
                  <c:v>52.075590331045284</c:v>
                </c:pt>
                <c:pt idx="3">
                  <c:v>58.581784390345966</c:v>
                </c:pt>
                <c:pt idx="4">
                  <c:v>66.442537291308867</c:v>
                </c:pt>
                <c:pt idx="5">
                  <c:v>76.094124588140872</c:v>
                </c:pt>
                <c:pt idx="6">
                  <c:v>88.189706675568104</c:v>
                </c:pt>
                <c:pt idx="7">
                  <c:v>103.77169557566428</c:v>
                </c:pt>
                <c:pt idx="8">
                  <c:v>124.67541305827088</c:v>
                </c:pt>
                <c:pt idx="9">
                  <c:v>154.73861885378389</c:v>
                </c:pt>
                <c:pt idx="10">
                  <c:v>205.87785297932484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D4-4A9C-B462-26B2E3788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078219600076961E-2"/>
          <c:y val="8.6086479615586797E-2"/>
          <c:w val="0.87248427056993405"/>
          <c:h val="0.81284765570585027"/>
        </c:manualLayout>
      </c:layout>
      <c:scatterChart>
        <c:scatterStyle val="smoothMarker"/>
        <c:varyColors val="0"/>
        <c:ser>
          <c:idx val="0"/>
          <c:order val="0"/>
          <c:tx>
            <c:v>11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ro_var!$S$23:$AC$23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ro_var!$S$24:$AC$24</c:f>
              <c:numCache>
                <c:formatCode>0.00000</c:formatCode>
                <c:ptCount val="11"/>
                <c:pt idx="0">
                  <c:v>5.0685530491895445</c:v>
                </c:pt>
                <c:pt idx="1">
                  <c:v>5.0669589502687646</c:v>
                </c:pt>
                <c:pt idx="2">
                  <c:v>4.5799752214677589</c:v>
                </c:pt>
                <c:pt idx="3">
                  <c:v>3.9277806970315763</c:v>
                </c:pt>
                <c:pt idx="4">
                  <c:v>2.8545095019591891</c:v>
                </c:pt>
                <c:pt idx="5">
                  <c:v>1.4835598657608724</c:v>
                </c:pt>
                <c:pt idx="6">
                  <c:v>0.48907648679775911</c:v>
                </c:pt>
                <c:pt idx="7">
                  <c:v>0.11451399766814219</c:v>
                </c:pt>
                <c:pt idx="8">
                  <c:v>2.8695073010876936E-2</c:v>
                </c:pt>
                <c:pt idx="9">
                  <c:v>1.1119854042847682E-2</c:v>
                </c:pt>
                <c:pt idx="10">
                  <c:v>6.7669853965884293E-3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7D-4D38-A48F-7593FB8CA584}"/>
            </c:ext>
          </c:extLst>
        </c:ser>
        <c:ser>
          <c:idx val="1"/>
          <c:order val="1"/>
          <c:tx>
            <c:v>21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ro_var!$S$23:$AC$23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ro_var!$S$25:$AC$25</c:f>
              <c:numCache>
                <c:formatCode>0.00000</c:formatCode>
                <c:ptCount val="11"/>
                <c:pt idx="0">
                  <c:v>5.0373997550592202</c:v>
                </c:pt>
                <c:pt idx="1">
                  <c:v>5.0288892515787271</c:v>
                </c:pt>
                <c:pt idx="2">
                  <c:v>4.5808600223775766</c:v>
                </c:pt>
                <c:pt idx="3">
                  <c:v>4.1256156581397327</c:v>
                </c:pt>
                <c:pt idx="4">
                  <c:v>3.6825139529353637</c:v>
                </c:pt>
                <c:pt idx="5">
                  <c:v>3.2474651990292158</c:v>
                </c:pt>
                <c:pt idx="6">
                  <c:v>2.7945365444839987</c:v>
                </c:pt>
                <c:pt idx="7">
                  <c:v>2.2699770396701688</c:v>
                </c:pt>
                <c:pt idx="8">
                  <c:v>1.6395732054541987</c:v>
                </c:pt>
                <c:pt idx="9">
                  <c:v>0.9808132260239979</c:v>
                </c:pt>
                <c:pt idx="10">
                  <c:v>0.45968746387012227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7D-4D38-A48F-7593FB8CA584}"/>
            </c:ext>
          </c:extLst>
        </c:ser>
        <c:ser>
          <c:idx val="2"/>
          <c:order val="2"/>
          <c:tx>
            <c:v>31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ro_var!$S$23:$AC$23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ro_var!$S$26:$AC$26</c:f>
              <c:numCache>
                <c:formatCode>0.00000</c:formatCode>
                <c:ptCount val="11"/>
                <c:pt idx="0">
                  <c:v>4.9813529829303729</c:v>
                </c:pt>
                <c:pt idx="1">
                  <c:v>4.9728387630493831</c:v>
                </c:pt>
                <c:pt idx="2">
                  <c:v>4.5310720594973919</c:v>
                </c:pt>
                <c:pt idx="3">
                  <c:v>4.0836483923491986</c:v>
                </c:pt>
                <c:pt idx="4">
                  <c:v>3.6500583696871916</c:v>
                </c:pt>
                <c:pt idx="5">
                  <c:v>3.2341975577423407</c:v>
                </c:pt>
                <c:pt idx="6">
                  <c:v>2.8380814811231292</c:v>
                </c:pt>
                <c:pt idx="7">
                  <c:v>2.4627324927687799</c:v>
                </c:pt>
                <c:pt idx="8">
                  <c:v>2.1074540887805475</c:v>
                </c:pt>
                <c:pt idx="9">
                  <c:v>1.7680486629951475</c:v>
                </c:pt>
                <c:pt idx="10">
                  <c:v>1.4421090935987697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7D-4D38-A48F-7593FB8CA584}"/>
            </c:ext>
          </c:extLst>
        </c:ser>
        <c:ser>
          <c:idx val="3"/>
          <c:order val="3"/>
          <c:tx>
            <c:v>51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ro_var!$S$23:$AC$23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ro_var!$S$27:$AC$27</c:f>
              <c:numCache>
                <c:formatCode>0.00000</c:formatCode>
                <c:ptCount val="11"/>
                <c:pt idx="0">
                  <c:v>4.8676928783465812</c:v>
                </c:pt>
                <c:pt idx="1">
                  <c:v>4.8594112802884224</c:v>
                </c:pt>
                <c:pt idx="2">
                  <c:v>4.4295445637395989</c:v>
                </c:pt>
                <c:pt idx="3">
                  <c:v>3.9959061704638046</c:v>
                </c:pt>
                <c:pt idx="4">
                  <c:v>3.575296181623107</c:v>
                </c:pt>
                <c:pt idx="5">
                  <c:v>3.1713649725800415</c:v>
                </c:pt>
                <c:pt idx="6">
                  <c:v>2.786198210834816</c:v>
                </c:pt>
                <c:pt idx="7">
                  <c:v>2.42138175796602</c:v>
                </c:pt>
                <c:pt idx="8">
                  <c:v>2.0782914509658394</c:v>
                </c:pt>
                <c:pt idx="9">
                  <c:v>1.7589599739314892</c:v>
                </c:pt>
                <c:pt idx="10">
                  <c:v>1.4836515382625715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7D-4D38-A48F-7593FB8CA584}"/>
            </c:ext>
          </c:extLst>
        </c:ser>
        <c:ser>
          <c:idx val="4"/>
          <c:order val="4"/>
          <c:tx>
            <c:v>71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ro_var!$S$23:$AC$23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ro_var!$S$28:$AC$28</c:f>
              <c:numCache>
                <c:formatCode>0.00000</c:formatCode>
                <c:ptCount val="11"/>
                <c:pt idx="0">
                  <c:v>4.7535960512138464</c:v>
                </c:pt>
                <c:pt idx="1">
                  <c:v>4.7455560798618439</c:v>
                </c:pt>
                <c:pt idx="2">
                  <c:v>4.3277670734952745</c:v>
                </c:pt>
                <c:pt idx="3">
                  <c:v>3.9078752574302187</c:v>
                </c:pt>
                <c:pt idx="4">
                  <c:v>3.500211031986554</c:v>
                </c:pt>
                <c:pt idx="5">
                  <c:v>3.1081427814021523</c:v>
                </c:pt>
                <c:pt idx="6">
                  <c:v>2.7336845031383628</c:v>
                </c:pt>
                <c:pt idx="7">
                  <c:v>2.3784170804151743</c:v>
                </c:pt>
                <c:pt idx="8">
                  <c:v>2.0438434996553267</c:v>
                </c:pt>
                <c:pt idx="9">
                  <c:v>1.7335464655714259</c:v>
                </c:pt>
                <c:pt idx="10">
                  <c:v>1.4777186981978501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07D-4D38-A48F-7593FB8CA584}"/>
            </c:ext>
          </c:extLst>
        </c:ser>
        <c:ser>
          <c:idx val="5"/>
          <c:order val="5"/>
          <c:tx>
            <c:v>101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ro_var!$S$23:$AC$23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ro_var!$S$29:$AC$29</c:f>
              <c:numCache>
                <c:formatCode>0.00000</c:formatCode>
                <c:ptCount val="11"/>
                <c:pt idx="0">
                  <c:v>4.5829447507854422</c:v>
                </c:pt>
                <c:pt idx="1">
                  <c:v>4.5752759192895711</c:v>
                </c:pt>
                <c:pt idx="2">
                  <c:v>4.1758482532160812</c:v>
                </c:pt>
                <c:pt idx="3">
                  <c:v>3.7763615200777925</c:v>
                </c:pt>
                <c:pt idx="4">
                  <c:v>3.3879466331749541</c:v>
                </c:pt>
                <c:pt idx="5">
                  <c:v>3.0135647690589562</c:v>
                </c:pt>
                <c:pt idx="6">
                  <c:v>2.655113988671757</c:v>
                </c:pt>
                <c:pt idx="7">
                  <c:v>2.3141869322507733</c:v>
                </c:pt>
                <c:pt idx="8">
                  <c:v>1.9927356331134884</c:v>
                </c:pt>
                <c:pt idx="9">
                  <c:v>1.697583461136891</c:v>
                </c:pt>
                <c:pt idx="10">
                  <c:v>1.46915618529652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07D-4D38-A48F-7593FB8CA584}"/>
            </c:ext>
          </c:extLst>
        </c:ser>
        <c:ser>
          <c:idx val="6"/>
          <c:order val="6"/>
          <c:tx>
            <c:v>201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ro_var!$S$23:$AC$23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ro_var!$S$30:$AC$30</c:f>
              <c:numCache>
                <c:formatCode>0.00000</c:formatCode>
                <c:ptCount val="11"/>
                <c:pt idx="0">
                  <c:v>4.0357818214024359</c:v>
                </c:pt>
                <c:pt idx="1">
                  <c:v>4.0293485569951839</c:v>
                </c:pt>
                <c:pt idx="2">
                  <c:v>3.6908139728389697</c:v>
                </c:pt>
                <c:pt idx="3">
                  <c:v>3.3553340784282377</c:v>
                </c:pt>
                <c:pt idx="4">
                  <c:v>3.0274501757487395</c:v>
                </c:pt>
                <c:pt idx="5">
                  <c:v>2.7090779987354887</c:v>
                </c:pt>
                <c:pt idx="6">
                  <c:v>2.4019074951114359</c:v>
                </c:pt>
                <c:pt idx="7">
                  <c:v>2.1083353214071727</c:v>
                </c:pt>
                <c:pt idx="8">
                  <c:v>1.8342202238470859</c:v>
                </c:pt>
                <c:pt idx="9">
                  <c:v>1.5974630287719935</c:v>
                </c:pt>
                <c:pt idx="10">
                  <c:v>1.4443492550053929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07D-4D38-A48F-7593FB8CA584}"/>
            </c:ext>
          </c:extLst>
        </c:ser>
        <c:ser>
          <c:idx val="7"/>
          <c:order val="7"/>
          <c:tx>
            <c:v>Текущий расчет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ro_var!$G$10:$Q$10</c:f>
              <c:numCache>
                <c:formatCode>0.00000</c:formatCode>
                <c:ptCount val="11"/>
                <c:pt idx="0">
                  <c:v>1.3679789128489381</c:v>
                </c:pt>
                <c:pt idx="1">
                  <c:v>1.3679799053657893</c:v>
                </c:pt>
                <c:pt idx="2">
                  <c:v>1.3680343990380259</c:v>
                </c:pt>
                <c:pt idx="3">
                  <c:v>1.3680822808284849</c:v>
                </c:pt>
                <c:pt idx="4">
                  <c:v>1.3681224543610044</c:v>
                </c:pt>
                <c:pt idx="5">
                  <c:v>1.3681540489240136</c:v>
                </c:pt>
                <c:pt idx="6">
                  <c:v>1.3681765999876081</c:v>
                </c:pt>
                <c:pt idx="7">
                  <c:v>1.3681902764711737</c:v>
                </c:pt>
                <c:pt idx="8">
                  <c:v>1.3681961333125916</c:v>
                </c:pt>
                <c:pt idx="9">
                  <c:v>1.3681963286514474</c:v>
                </c:pt>
                <c:pt idx="10">
                  <c:v>1.3681941895816292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07D-4D38-A48F-7593FB8CA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'M=1,5(ro_var)'!$G$2:$Q$2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'M=1,5(ro_var)'!$G$3:$Q$3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6.8000000000000005E-2</c:v>
                </c:pt>
                <c:pt idx="4">
                  <c:v>6.4000000000000001E-2</c:v>
                </c:pt>
                <c:pt idx="5">
                  <c:v>0.06</c:v>
                </c:pt>
                <c:pt idx="6">
                  <c:v>5.6000000000000001E-2</c:v>
                </c:pt>
                <c:pt idx="7">
                  <c:v>5.1999999999999998E-2</c:v>
                </c:pt>
                <c:pt idx="8">
                  <c:v>4.8000000000000001E-2</c:v>
                </c:pt>
                <c:pt idx="9">
                  <c:v>4.3999999999999997E-2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C8-4C3D-9D8C-BFD21B3B5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'M=1,5(ro_var)'!$G$2:$Q$2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'M=1,5(ro_var)'!$G$10:$Q$10</c:f>
              <c:numCache>
                <c:formatCode>0.00000</c:formatCode>
                <c:ptCount val="11"/>
                <c:pt idx="0">
                  <c:v>3.7535209248847416</c:v>
                </c:pt>
                <c:pt idx="1">
                  <c:v>3.7535689349721406</c:v>
                </c:pt>
                <c:pt idx="2">
                  <c:v>3.756167568935914</c:v>
                </c:pt>
                <c:pt idx="3">
                  <c:v>3.7588951380849207</c:v>
                </c:pt>
                <c:pt idx="4">
                  <c:v>3.7616376937964686</c:v>
                </c:pt>
                <c:pt idx="5">
                  <c:v>3.7642601501144988</c:v>
                </c:pt>
                <c:pt idx="6">
                  <c:v>3.7666110576583836</c:v>
                </c:pt>
                <c:pt idx="7">
                  <c:v>3.7685342260356238</c:v>
                </c:pt>
                <c:pt idx="8">
                  <c:v>3.7698911481307986</c:v>
                </c:pt>
                <c:pt idx="9">
                  <c:v>3.770599229932484</c:v>
                </c:pt>
                <c:pt idx="10">
                  <c:v>3.7706913610236072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9B-447C-BC5C-903A02B0B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tx>
            <c:v>1D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'M=1,5(ro_var)'!$G$2:$Q$2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'M=1,5(ro_var)'!$G$6:$Q$6</c:f>
              <c:numCache>
                <c:formatCode>0.000</c:formatCode>
                <c:ptCount val="11"/>
                <c:pt idx="0">
                  <c:v>348958.88333425671</c:v>
                </c:pt>
                <c:pt idx="1">
                  <c:v>347951.92304292123</c:v>
                </c:pt>
                <c:pt idx="2">
                  <c:v>346618.17886122118</c:v>
                </c:pt>
                <c:pt idx="3">
                  <c:v>344830.87245662475</c:v>
                </c:pt>
                <c:pt idx="4">
                  <c:v>342386.625399818</c:v>
                </c:pt>
                <c:pt idx="5">
                  <c:v>338961.66398788325</c:v>
                </c:pt>
                <c:pt idx="6">
                  <c:v>334015.36186438688</c:v>
                </c:pt>
                <c:pt idx="7">
                  <c:v>326583.70701365703</c:v>
                </c:pt>
                <c:pt idx="8">
                  <c:v>314767.53433936858</c:v>
                </c:pt>
                <c:pt idx="9">
                  <c:v>294092.14482797863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07-4E6D-8A35-C5F482BCD550}"/>
            </c:ext>
          </c:extLst>
        </c:ser>
        <c:ser>
          <c:idx val="1"/>
          <c:order val="1"/>
          <c:tx>
            <c:v>3D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'M=1,5(ro_var)'!$S$35:$X$35</c:f>
              <c:numCache>
                <c:formatCode>0.0000</c:formatCode>
                <c:ptCount val="6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 formatCode="0.000">
                  <c:v>8.5000000000000006E-2</c:v>
                </c:pt>
                <c:pt idx="5">
                  <c:v>0.1</c:v>
                </c:pt>
              </c:numCache>
            </c:numRef>
          </c:xVal>
          <c:yVal>
            <c:numRef>
              <c:f>'M=1,5(ro_var)'!$S$36:$X$36</c:f>
              <c:numCache>
                <c:formatCode>General</c:formatCode>
                <c:ptCount val="6"/>
                <c:pt idx="0">
                  <c:v>345199</c:v>
                </c:pt>
                <c:pt idx="1">
                  <c:v>340985.59999999998</c:v>
                </c:pt>
                <c:pt idx="2">
                  <c:v>330458.09999999998</c:v>
                </c:pt>
                <c:pt idx="3">
                  <c:v>303106.3</c:v>
                </c:pt>
                <c:pt idx="4" formatCode="0.00">
                  <c:v>274886.5</c:v>
                </c:pt>
                <c:pt idx="5" formatCode="0.00">
                  <c:v>169044.1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D6-47B4-AB52-A861244C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tx>
            <c:v>1D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'M=1,5(ro_var)'!$G$2:$Q$2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'M=1,5(ro_var)'!$G$5:$Q$5</c:f>
              <c:numCache>
                <c:formatCode>0.000</c:formatCode>
                <c:ptCount val="11"/>
                <c:pt idx="0">
                  <c:v>44.090141786178279</c:v>
                </c:pt>
                <c:pt idx="1">
                  <c:v>48.956889296236241</c:v>
                </c:pt>
                <c:pt idx="2">
                  <c:v>54.738502483563281</c:v>
                </c:pt>
                <c:pt idx="3">
                  <c:v>61.644520539076971</c:v>
                </c:pt>
                <c:pt idx="4">
                  <c:v>70.004691460675488</c:v>
                </c:pt>
                <c:pt idx="5">
                  <c:v>80.293895945171286</c:v>
                </c:pt>
                <c:pt idx="6">
                  <c:v>93.23062024369969</c:v>
                </c:pt>
                <c:pt idx="7">
                  <c:v>109.9820228094531</c:v>
                </c:pt>
                <c:pt idx="8">
                  <c:v>132.66874926734883</c:v>
                </c:pt>
                <c:pt idx="9">
                  <c:v>166.01878126726035</c:v>
                </c:pt>
                <c:pt idx="10">
                  <c:v>422.98841122426518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5B-4937-ABCA-8C5F94B5A441}"/>
            </c:ext>
          </c:extLst>
        </c:ser>
        <c:ser>
          <c:idx val="1"/>
          <c:order val="1"/>
          <c:tx>
            <c:v>3D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'M=1,5(ro_var)'!$S$35:$X$35</c:f>
              <c:numCache>
                <c:formatCode>0.0000</c:formatCode>
                <c:ptCount val="6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 formatCode="0.000">
                  <c:v>8.5000000000000006E-2</c:v>
                </c:pt>
                <c:pt idx="5">
                  <c:v>0.1</c:v>
                </c:pt>
              </c:numCache>
            </c:numRef>
          </c:xVal>
          <c:yVal>
            <c:numRef>
              <c:f>'M=1,5(ro_var)'!$S$37:$X$37</c:f>
              <c:numCache>
                <c:formatCode>General</c:formatCode>
                <c:ptCount val="6"/>
                <c:pt idx="0">
                  <c:v>59.260750000000002</c:v>
                </c:pt>
                <c:pt idx="1">
                  <c:v>75.040980000000005</c:v>
                </c:pt>
                <c:pt idx="2">
                  <c:v>103.6818</c:v>
                </c:pt>
                <c:pt idx="3">
                  <c:v>156.67660000000001</c:v>
                </c:pt>
                <c:pt idx="4" formatCode="0.00">
                  <c:v>199.47919999999999</c:v>
                </c:pt>
                <c:pt idx="5">
                  <c:v>333.14179999999999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A-4E7F-B074-0A0AE8C7B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'M=1,5(ro_const)'!$G$2:$Q$2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'M=1,5(ro_const)'!$G$3:$Q$3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6.8000000000000005E-2</c:v>
                </c:pt>
                <c:pt idx="4">
                  <c:v>6.4000000000000001E-2</c:v>
                </c:pt>
                <c:pt idx="5">
                  <c:v>0.06</c:v>
                </c:pt>
                <c:pt idx="6">
                  <c:v>5.6000000000000001E-2</c:v>
                </c:pt>
                <c:pt idx="7">
                  <c:v>5.1999999999999998E-2</c:v>
                </c:pt>
                <c:pt idx="8">
                  <c:v>4.8000000000000001E-2</c:v>
                </c:pt>
                <c:pt idx="9">
                  <c:v>4.3999999999999997E-2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1A-4121-88B7-ABCDA7C80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'M=1,5(ro_const)'!$G$2:$Q$2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'M=1,5(ro_const)'!$G$10:$Q$10</c:f>
              <c:numCache>
                <c:formatCode>0.00000</c:formatCode>
                <c:ptCount val="11"/>
                <c:pt idx="0">
                  <c:v>2.5268337344449985</c:v>
                </c:pt>
                <c:pt idx="1">
                  <c:v>2.5268397262542721</c:v>
                </c:pt>
                <c:pt idx="2">
                  <c:v>2.527176487327913</c:v>
                </c:pt>
                <c:pt idx="3">
                  <c:v>2.5276655889791972</c:v>
                </c:pt>
                <c:pt idx="4">
                  <c:v>2.5282458459497663</c:v>
                </c:pt>
                <c:pt idx="5">
                  <c:v>2.5288496595446488</c:v>
                </c:pt>
                <c:pt idx="6">
                  <c:v>2.5294085728132587</c:v>
                </c:pt>
                <c:pt idx="7">
                  <c:v>2.5298622660844359</c:v>
                </c:pt>
                <c:pt idx="8">
                  <c:v>2.5301708941636694</c:v>
                </c:pt>
                <c:pt idx="9">
                  <c:v>2.5303286030220002</c:v>
                </c:pt>
                <c:pt idx="10">
                  <c:v>2.5303720362691116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DE-4A19-9B5B-CCD382DA2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tx>
            <c:v>1D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'M=1,5(ro_const)'!$G$2:$Q$2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'M=1,5(ro_const)'!$G$6:$Q$6</c:f>
              <c:numCache>
                <c:formatCode>0.000</c:formatCode>
                <c:ptCount val="11"/>
                <c:pt idx="0">
                  <c:v>209835.87332275073</c:v>
                </c:pt>
                <c:pt idx="1">
                  <c:v>208240.30247873181</c:v>
                </c:pt>
                <c:pt idx="2">
                  <c:v>206155.11781142247</c:v>
                </c:pt>
                <c:pt idx="3">
                  <c:v>203390.57048418865</c:v>
                </c:pt>
                <c:pt idx="4">
                  <c:v>199663.99569318426</c:v>
                </c:pt>
                <c:pt idx="5">
                  <c:v>194545.83931065944</c:v>
                </c:pt>
                <c:pt idx="6">
                  <c:v>187365.52153852402</c:v>
                </c:pt>
                <c:pt idx="7">
                  <c:v>177043.49407887951</c:v>
                </c:pt>
                <c:pt idx="8">
                  <c:v>161779.11425652026</c:v>
                </c:pt>
                <c:pt idx="9">
                  <c:v>138442.67637483348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C5-4B97-AD17-AB0623852F5F}"/>
            </c:ext>
          </c:extLst>
        </c:ser>
        <c:ser>
          <c:idx val="1"/>
          <c:order val="1"/>
          <c:tx>
            <c:v>3D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'M=1,5(ro_const)'!$S$24:$X$24</c:f>
              <c:numCache>
                <c:formatCode>0.0000</c:formatCode>
                <c:ptCount val="6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 formatCode="0.000">
                  <c:v>8.5000000000000006E-2</c:v>
                </c:pt>
                <c:pt idx="5">
                  <c:v>0.1</c:v>
                </c:pt>
              </c:numCache>
            </c:numRef>
          </c:xVal>
          <c:yVal>
            <c:numRef>
              <c:f>'M=1,5(ro_const)'!$S$25:$X$25</c:f>
              <c:numCache>
                <c:formatCode>General</c:formatCode>
                <c:ptCount val="6"/>
                <c:pt idx="0">
                  <c:v>207771</c:v>
                </c:pt>
                <c:pt idx="1">
                  <c:v>203257</c:v>
                </c:pt>
                <c:pt idx="2">
                  <c:v>192492</c:v>
                </c:pt>
                <c:pt idx="3">
                  <c:v>168165</c:v>
                </c:pt>
                <c:pt idx="4" formatCode="0.00">
                  <c:v>148689.5</c:v>
                </c:pt>
                <c:pt idx="5" formatCode="0.0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0F-42F3-A0C9-AAA11EF5E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tx>
            <c:v>1D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'M=1,5(ro_const)'!$G$2:$Q$2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'M=1,5(ro_const)'!$G$5:$Q$5</c:f>
              <c:numCache>
                <c:formatCode>0.000</c:formatCode>
                <c:ptCount val="11"/>
                <c:pt idx="0">
                  <c:v>106.05409556085426</c:v>
                </c:pt>
                <c:pt idx="1">
                  <c:v>117.51174047952685</c:v>
                </c:pt>
                <c:pt idx="2">
                  <c:v>130.94865639089593</c:v>
                </c:pt>
                <c:pt idx="3">
                  <c:v>146.83587911302203</c:v>
                </c:pt>
                <c:pt idx="4">
                  <c:v>165.80203338835815</c:v>
                </c:pt>
                <c:pt idx="5">
                  <c:v>188.69101971302558</c:v>
                </c:pt>
                <c:pt idx="6">
                  <c:v>216.65760597247564</c:v>
                </c:pt>
                <c:pt idx="7">
                  <c:v>251.31678027015712</c:v>
                </c:pt>
                <c:pt idx="8">
                  <c:v>294.98430798496048</c:v>
                </c:pt>
                <c:pt idx="9">
                  <c:v>351.07770583997655</c:v>
                </c:pt>
                <c:pt idx="10">
                  <c:v>424.81136970866402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B9-413A-A2CB-F811EE2F7291}"/>
            </c:ext>
          </c:extLst>
        </c:ser>
        <c:ser>
          <c:idx val="1"/>
          <c:order val="1"/>
          <c:tx>
            <c:v>3D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'M=1,5(ro_const)'!$S$24:$X$24</c:f>
              <c:numCache>
                <c:formatCode>0.0000</c:formatCode>
                <c:ptCount val="6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 formatCode="0.000">
                  <c:v>8.5000000000000006E-2</c:v>
                </c:pt>
                <c:pt idx="5">
                  <c:v>0.1</c:v>
                </c:pt>
              </c:numCache>
            </c:numRef>
          </c:xVal>
          <c:yVal>
            <c:numRef>
              <c:f>'M=1,5(ro_const)'!$S$26:$X$26</c:f>
              <c:numCache>
                <c:formatCode>General</c:formatCode>
                <c:ptCount val="6"/>
                <c:pt idx="0">
                  <c:v>118.4877</c:v>
                </c:pt>
                <c:pt idx="1">
                  <c:v>148.65209999999999</c:v>
                </c:pt>
                <c:pt idx="2">
                  <c:v>200.7876</c:v>
                </c:pt>
                <c:pt idx="3">
                  <c:v>285.13</c:v>
                </c:pt>
                <c:pt idx="4" formatCode="0.00">
                  <c:v>338.23829999999998</c:v>
                </c:pt>
                <c:pt idx="5">
                  <c:v>440.15249999999997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F2-4159-B10A-D99C1532B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21</xdr:row>
      <xdr:rowOff>43542</xdr:rowOff>
    </xdr:from>
    <xdr:to>
      <xdr:col>8</xdr:col>
      <xdr:colOff>625929</xdr:colOff>
      <xdr:row>37</xdr:row>
      <xdr:rowOff>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353786</xdr:colOff>
      <xdr:row>21</xdr:row>
      <xdr:rowOff>149679</xdr:rowOff>
    </xdr:from>
    <xdr:to>
      <xdr:col>15</xdr:col>
      <xdr:colOff>585110</xdr:colOff>
      <xdr:row>37</xdr:row>
      <xdr:rowOff>106137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15</xdr:row>
          <xdr:rowOff>85725</xdr:rowOff>
        </xdr:from>
        <xdr:to>
          <xdr:col>2</xdr:col>
          <xdr:colOff>514350</xdr:colOff>
          <xdr:row>19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21</xdr:row>
      <xdr:rowOff>43542</xdr:rowOff>
    </xdr:from>
    <xdr:to>
      <xdr:col>8</xdr:col>
      <xdr:colOff>625929</xdr:colOff>
      <xdr:row>37</xdr:row>
      <xdr:rowOff>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353786</xdr:colOff>
      <xdr:row>21</xdr:row>
      <xdr:rowOff>149679</xdr:rowOff>
    </xdr:from>
    <xdr:to>
      <xdr:col>15</xdr:col>
      <xdr:colOff>585110</xdr:colOff>
      <xdr:row>37</xdr:row>
      <xdr:rowOff>106137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15</xdr:row>
          <xdr:rowOff>180975</xdr:rowOff>
        </xdr:from>
        <xdr:to>
          <xdr:col>4</xdr:col>
          <xdr:colOff>28575</xdr:colOff>
          <xdr:row>18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806533</xdr:colOff>
      <xdr:row>32</xdr:row>
      <xdr:rowOff>35873</xdr:rowOff>
    </xdr:from>
    <xdr:to>
      <xdr:col>33</xdr:col>
      <xdr:colOff>450273</xdr:colOff>
      <xdr:row>69</xdr:row>
      <xdr:rowOff>173182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0.94486</cdr:x>
      <cdr:y>0.91324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792194" y="6562354"/>
          <a:ext cx="571500" cy="6234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442849</xdr:colOff>
      <xdr:row>23</xdr:row>
      <xdr:rowOff>112815</xdr:rowOff>
    </xdr:from>
    <xdr:to>
      <xdr:col>8</xdr:col>
      <xdr:colOff>660565</xdr:colOff>
      <xdr:row>39</xdr:row>
      <xdr:rowOff>69273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457695</xdr:colOff>
      <xdr:row>25</xdr:row>
      <xdr:rowOff>63088</xdr:rowOff>
    </xdr:from>
    <xdr:to>
      <xdr:col>15</xdr:col>
      <xdr:colOff>689019</xdr:colOff>
      <xdr:row>41</xdr:row>
      <xdr:rowOff>19546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388422</xdr:colOff>
      <xdr:row>40</xdr:row>
      <xdr:rowOff>34636</xdr:rowOff>
    </xdr:from>
    <xdr:to>
      <xdr:col>8</xdr:col>
      <xdr:colOff>606138</xdr:colOff>
      <xdr:row>55</xdr:row>
      <xdr:rowOff>181594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392134</xdr:colOff>
      <xdr:row>41</xdr:row>
      <xdr:rowOff>121227</xdr:rowOff>
    </xdr:from>
    <xdr:to>
      <xdr:col>15</xdr:col>
      <xdr:colOff>623458</xdr:colOff>
      <xdr:row>57</xdr:row>
      <xdr:rowOff>77685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15</xdr:row>
          <xdr:rowOff>180975</xdr:rowOff>
        </xdr:from>
        <xdr:to>
          <xdr:col>4</xdr:col>
          <xdr:colOff>28575</xdr:colOff>
          <xdr:row>18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</a:t>
              </a:r>
            </a:p>
          </xdr:txBody>
        </xdr:sp>
        <xdr:clientData fPrintsWithSheet="0"/>
      </xdr:twoCellAnchor>
    </mc:Choice>
    <mc:Fallback/>
  </mc:AlternateContent>
  <xdr:oneCellAnchor>
    <xdr:from>
      <xdr:col>17</xdr:col>
      <xdr:colOff>372034</xdr:colOff>
      <xdr:row>21</xdr:row>
      <xdr:rowOff>80680</xdr:rowOff>
    </xdr:from>
    <xdr:ext cx="2608731" cy="50917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/>
            <xdr:cNvSpPr txBox="1"/>
          </xdr:nvSpPr>
          <xdr:spPr>
            <a:xfrm>
              <a:off x="13875122" y="4081180"/>
              <a:ext cx="2608731" cy="5091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6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f>
                      <m:fPr>
                        <m:ctrlPr>
                          <a:rPr lang="ru-RU" sz="16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𝑑𝑉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𝑉</m:t>
                        </m:r>
                      </m:den>
                    </m:f>
                    <m:r>
                      <a:rPr lang="en-US" sz="1600" b="0" i="1">
                        <a:latin typeface="Cambria Math" panose="02040503050406030204" pitchFamily="18" charset="0"/>
                      </a:rPr>
                      <m:t>=−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</m:den>
                    </m:f>
                  </m:oMath>
                </m:oMathPara>
              </a14:m>
              <a:endParaRPr lang="ru-RU" sz="1600"/>
            </a:p>
          </xdr:txBody>
        </xdr:sp>
      </mc:Choice>
      <mc:Fallback>
        <xdr:sp macro="" textlink="">
          <xdr:nvSpPr>
            <xdr:cNvPr id="6" name="TextBox 5"/>
            <xdr:cNvSpPr txBox="1"/>
          </xdr:nvSpPr>
          <xdr:spPr>
            <a:xfrm>
              <a:off x="13875122" y="4081180"/>
              <a:ext cx="2608731" cy="5091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𝑀</a:t>
              </a:r>
              <a:r>
                <a:rPr lang="ru-RU" sz="1600" b="0" i="0">
                  <a:latin typeface="Cambria Math" panose="02040503050406030204" pitchFamily="18" charset="0"/>
                </a:rPr>
                <a:t>^</a:t>
              </a:r>
              <a:r>
                <a:rPr lang="en-US" sz="1600" b="0" i="0">
                  <a:latin typeface="Cambria Math" panose="02040503050406030204" pitchFamily="18" charset="0"/>
                </a:rPr>
                <a:t>2</a:t>
              </a:r>
              <a:r>
                <a:rPr lang="ru-RU" sz="1600" b="0" i="0">
                  <a:latin typeface="Cambria Math" panose="02040503050406030204" pitchFamily="18" charset="0"/>
                </a:rPr>
                <a:t> </a:t>
              </a:r>
              <a:r>
                <a:rPr lang="en-US" sz="1600" b="0" i="0">
                  <a:latin typeface="Cambria Math" panose="02040503050406030204" pitchFamily="18" charset="0"/>
                </a:rPr>
                <a:t> 𝑑𝑉</a:t>
              </a:r>
              <a:r>
                <a:rPr lang="ru-RU" sz="1600" b="0" i="0">
                  <a:latin typeface="Cambria Math" panose="02040503050406030204" pitchFamily="18" charset="0"/>
                </a:rPr>
                <a:t>/</a:t>
              </a:r>
              <a:r>
                <a:rPr lang="en-US" sz="1600" b="0" i="0">
                  <a:latin typeface="Cambria Math" panose="02040503050406030204" pitchFamily="18" charset="0"/>
                </a:rPr>
                <a:t>𝑉=−𝑑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𝜌/𝜌</a:t>
              </a:r>
              <a:endParaRPr lang="ru-RU" sz="1600"/>
            </a:p>
          </xdr:txBody>
        </xdr:sp>
      </mc:Fallback>
    </mc:AlternateContent>
    <xdr:clientData/>
  </xdr:oneCellAnchor>
  <xdr:oneCellAnchor>
    <xdr:from>
      <xdr:col>21</xdr:col>
      <xdr:colOff>571500</xdr:colOff>
      <xdr:row>20</xdr:row>
      <xdr:rowOff>67235</xdr:rowOff>
    </xdr:from>
    <xdr:ext cx="2608731" cy="46750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TextBox 7"/>
            <xdr:cNvSpPr txBox="1"/>
          </xdr:nvSpPr>
          <xdr:spPr>
            <a:xfrm>
              <a:off x="16495059" y="3877235"/>
              <a:ext cx="2608731" cy="467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6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ru-RU" sz="16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ru-RU" sz="1600" b="0" i="1">
                        <a:latin typeface="Cambria Math" panose="02040503050406030204" pitchFamily="18" charset="0"/>
                      </a:rPr>
                      <m:t>−1)</m:t>
                    </m:r>
                    <m:f>
                      <m:fPr>
                        <m:ctrlPr>
                          <a:rPr lang="ru-RU" sz="16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𝑑𝑉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𝑉</m:t>
                        </m:r>
                      </m:den>
                    </m:f>
                    <m:r>
                      <a:rPr lang="en-US" sz="1600" b="0" i="1">
                        <a:latin typeface="Cambria Math" panose="02040503050406030204" pitchFamily="18" charset="0"/>
                      </a:rPr>
                      <m:t>=−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𝑑𝐹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𝐹</m:t>
                        </m:r>
                      </m:den>
                    </m:f>
                  </m:oMath>
                </m:oMathPara>
              </a14:m>
              <a:endParaRPr lang="ru-RU" sz="1600"/>
            </a:p>
          </xdr:txBody>
        </xdr:sp>
      </mc:Choice>
      <mc:Fallback>
        <xdr:sp macro="" textlink="">
          <xdr:nvSpPr>
            <xdr:cNvPr id="8" name="TextBox 7"/>
            <xdr:cNvSpPr txBox="1"/>
          </xdr:nvSpPr>
          <xdr:spPr>
            <a:xfrm>
              <a:off x="16495059" y="3877235"/>
              <a:ext cx="2608731" cy="467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ru-RU" sz="1600" i="0">
                  <a:latin typeface="Cambria Math" panose="02040503050406030204" pitchFamily="18" charset="0"/>
                </a:rPr>
                <a:t>〖</a:t>
              </a:r>
              <a:r>
                <a:rPr lang="ru-RU" sz="1600" b="0" i="0">
                  <a:latin typeface="Cambria Math" panose="02040503050406030204" pitchFamily="18" charset="0"/>
                </a:rPr>
                <a:t>(</a:t>
              </a:r>
              <a:r>
                <a:rPr lang="en-US" sz="1600" b="0" i="0">
                  <a:latin typeface="Cambria Math" panose="02040503050406030204" pitchFamily="18" charset="0"/>
                </a:rPr>
                <a:t>𝑀</a:t>
              </a:r>
              <a:r>
                <a:rPr lang="ru-RU" sz="1600" b="0" i="0">
                  <a:latin typeface="Cambria Math" panose="02040503050406030204" pitchFamily="18" charset="0"/>
                </a:rPr>
                <a:t>〗^</a:t>
              </a:r>
              <a:r>
                <a:rPr lang="en-US" sz="1600" b="0" i="0">
                  <a:latin typeface="Cambria Math" panose="02040503050406030204" pitchFamily="18" charset="0"/>
                </a:rPr>
                <a:t>2</a:t>
              </a:r>
              <a:r>
                <a:rPr lang="ru-RU" sz="1600" b="0" i="0">
                  <a:latin typeface="Cambria Math" panose="02040503050406030204" pitchFamily="18" charset="0"/>
                </a:rPr>
                <a:t>−1)</a:t>
              </a:r>
              <a:r>
                <a:rPr lang="en-US" sz="1600" b="0" i="0">
                  <a:latin typeface="Cambria Math" panose="02040503050406030204" pitchFamily="18" charset="0"/>
                </a:rPr>
                <a:t>𝑑𝑉</a:t>
              </a:r>
              <a:r>
                <a:rPr lang="ru-RU" sz="1600" b="0" i="0">
                  <a:latin typeface="Cambria Math" panose="02040503050406030204" pitchFamily="18" charset="0"/>
                </a:rPr>
                <a:t>/</a:t>
              </a:r>
              <a:r>
                <a:rPr lang="en-US" sz="1600" b="0" i="0">
                  <a:latin typeface="Cambria Math" panose="02040503050406030204" pitchFamily="18" charset="0"/>
                </a:rPr>
                <a:t>𝑉=−𝑑𝐹/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𝐹</a:t>
              </a:r>
              <a:endParaRPr lang="ru-RU" sz="1600"/>
            </a:p>
          </xdr:txBody>
        </xdr:sp>
      </mc:Fallback>
    </mc:AlternateContent>
    <xdr:clientData/>
  </xdr:one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21</xdr:row>
      <xdr:rowOff>43542</xdr:rowOff>
    </xdr:from>
    <xdr:to>
      <xdr:col>8</xdr:col>
      <xdr:colOff>625929</xdr:colOff>
      <xdr:row>37</xdr:row>
      <xdr:rowOff>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353786</xdr:colOff>
      <xdr:row>21</xdr:row>
      <xdr:rowOff>149679</xdr:rowOff>
    </xdr:from>
    <xdr:to>
      <xdr:col>15</xdr:col>
      <xdr:colOff>585110</xdr:colOff>
      <xdr:row>37</xdr:row>
      <xdr:rowOff>106137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15</xdr:row>
          <xdr:rowOff>85725</xdr:rowOff>
        </xdr:from>
        <xdr:to>
          <xdr:col>2</xdr:col>
          <xdr:colOff>514350</xdr:colOff>
          <xdr:row>19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R19"/>
  <sheetViews>
    <sheetView zoomScale="70" zoomScaleNormal="70" workbookViewId="0">
      <selection activeCell="W44" sqref="W44"/>
    </sheetView>
  </sheetViews>
  <sheetFormatPr defaultRowHeight="15" x14ac:dyDescent="0.25"/>
  <cols>
    <col min="1" max="2" width="9.140625" style="1"/>
    <col min="3" max="3" width="10.140625" style="1" bestFit="1" customWidth="1"/>
    <col min="4" max="6" width="9.140625" style="1"/>
    <col min="7" max="8" width="11.140625" style="1" bestFit="1" customWidth="1"/>
    <col min="9" max="9" width="12.140625" style="1" customWidth="1"/>
    <col min="10" max="10" width="13" style="1" customWidth="1"/>
    <col min="11" max="11" width="14" style="1" customWidth="1"/>
    <col min="12" max="12" width="12.7109375" style="1" customWidth="1"/>
    <col min="13" max="13" width="12.140625" style="1" customWidth="1"/>
    <col min="14" max="14" width="12.7109375" style="1" customWidth="1"/>
    <col min="15" max="15" width="13.5703125" style="1" customWidth="1"/>
    <col min="16" max="16" width="14" style="1" customWidth="1"/>
    <col min="17" max="17" width="15.42578125" style="1" customWidth="1"/>
    <col min="18" max="16384" width="9.140625" style="1"/>
  </cols>
  <sheetData>
    <row r="1" spans="2:18" x14ac:dyDescent="0.25">
      <c r="F1" s="2" t="s">
        <v>11</v>
      </c>
      <c r="G1" s="5">
        <v>1</v>
      </c>
      <c r="H1" s="5">
        <v>2</v>
      </c>
      <c r="I1" s="5">
        <v>3</v>
      </c>
      <c r="J1" s="5">
        <v>4</v>
      </c>
      <c r="K1" s="5">
        <v>5</v>
      </c>
      <c r="L1" s="5">
        <v>6</v>
      </c>
      <c r="M1" s="5">
        <v>7</v>
      </c>
      <c r="N1" s="5">
        <v>8</v>
      </c>
      <c r="O1" s="5">
        <v>9</v>
      </c>
      <c r="P1" s="5">
        <v>10</v>
      </c>
      <c r="Q1" s="5">
        <v>11</v>
      </c>
    </row>
    <row r="2" spans="2:18" x14ac:dyDescent="0.25">
      <c r="F2" s="2" t="s">
        <v>0</v>
      </c>
      <c r="G2" s="5">
        <v>0</v>
      </c>
      <c r="H2" s="5">
        <v>0.01</v>
      </c>
      <c r="I2" s="5">
        <v>0.02</v>
      </c>
      <c r="J2" s="5">
        <v>0.03</v>
      </c>
      <c r="K2" s="5">
        <v>0.04</v>
      </c>
      <c r="L2" s="5">
        <v>0.05</v>
      </c>
      <c r="M2" s="5">
        <v>0.06</v>
      </c>
      <c r="N2" s="5">
        <v>7.0000000000000007E-2</v>
      </c>
      <c r="O2" s="5">
        <v>0.08</v>
      </c>
      <c r="P2" s="5">
        <v>0.09</v>
      </c>
      <c r="Q2" s="5">
        <v>0.1</v>
      </c>
    </row>
    <row r="3" spans="2:18" x14ac:dyDescent="0.25">
      <c r="B3" s="2" t="s">
        <v>4</v>
      </c>
      <c r="C3" s="2">
        <v>0.1</v>
      </c>
      <c r="F3" s="2" t="s">
        <v>7</v>
      </c>
      <c r="G3" s="5">
        <v>0.08</v>
      </c>
      <c r="H3" s="5">
        <v>7.5999999999999998E-2</v>
      </c>
      <c r="I3" s="5">
        <v>7.1999999999999995E-2</v>
      </c>
      <c r="J3" s="5">
        <v>6.8000000000000005E-2</v>
      </c>
      <c r="K3" s="5">
        <v>6.4000000000000001E-2</v>
      </c>
      <c r="L3" s="5">
        <v>0.06</v>
      </c>
      <c r="M3" s="5">
        <v>5.6000000000000001E-2</v>
      </c>
      <c r="N3" s="5">
        <v>5.1999999999999998E-2</v>
      </c>
      <c r="O3" s="5">
        <v>4.8000000000000001E-2</v>
      </c>
      <c r="P3" s="5">
        <v>4.3999999999999997E-2</v>
      </c>
      <c r="Q3" s="5">
        <v>0.04</v>
      </c>
    </row>
    <row r="4" spans="2:18" x14ac:dyDescent="0.25">
      <c r="B4" s="2" t="s">
        <v>5</v>
      </c>
      <c r="C4" s="2">
        <v>0.01</v>
      </c>
      <c r="F4" s="2" t="s">
        <v>12</v>
      </c>
      <c r="G4" s="5">
        <f>(PI()*(2*G3)^2)/4</f>
        <v>2.0106192982974676E-2</v>
      </c>
      <c r="H4" s="5">
        <f t="shared" ref="H4:Q4" si="0">(PI()*(2*H3)^2)/4</f>
        <v>1.8145839167134643E-2</v>
      </c>
      <c r="I4" s="5">
        <f t="shared" si="0"/>
        <v>1.6286016316209486E-2</v>
      </c>
      <c r="J4" s="5">
        <f t="shared" si="0"/>
        <v>1.4526724430199206E-2</v>
      </c>
      <c r="K4" s="5">
        <f t="shared" si="0"/>
        <v>1.2867963509103792E-2</v>
      </c>
      <c r="L4" s="5">
        <f t="shared" si="0"/>
        <v>1.1309733552923255E-2</v>
      </c>
      <c r="M4" s="5">
        <f t="shared" si="0"/>
        <v>9.8520345616575928E-3</v>
      </c>
      <c r="N4" s="5">
        <f t="shared" si="0"/>
        <v>8.4948665353067991E-3</v>
      </c>
      <c r="O4" s="5">
        <f t="shared" si="0"/>
        <v>7.2382294738708832E-3</v>
      </c>
      <c r="P4" s="5">
        <f t="shared" si="0"/>
        <v>6.0821233773498389E-3</v>
      </c>
      <c r="Q4" s="5">
        <f t="shared" si="0"/>
        <v>5.0265482457436689E-3</v>
      </c>
    </row>
    <row r="5" spans="2:18" x14ac:dyDescent="0.25">
      <c r="F5" s="2" t="s">
        <v>1</v>
      </c>
      <c r="G5" s="5">
        <v>57.428296774136015</v>
      </c>
      <c r="H5" s="5">
        <v>63.632461542509908</v>
      </c>
      <c r="I5" s="5">
        <v>70.899115717335988</v>
      </c>
      <c r="J5" s="5">
        <v>79.485498364107031</v>
      </c>
      <c r="K5" s="5">
        <v>89.731661562502339</v>
      </c>
      <c r="L5" s="5">
        <v>102.09467815277885</v>
      </c>
      <c r="M5" s="5">
        <v>117.20051390154875</v>
      </c>
      <c r="N5" s="5">
        <v>135.92485036890346</v>
      </c>
      <c r="O5" s="5">
        <v>159.5229123014422</v>
      </c>
      <c r="P5" s="5">
        <v>189.84544983166356</v>
      </c>
      <c r="Q5" s="5">
        <v>229.71299575509255</v>
      </c>
    </row>
    <row r="6" spans="2:18" x14ac:dyDescent="0.25">
      <c r="B6" s="3" t="s">
        <v>6</v>
      </c>
      <c r="C6" s="3">
        <v>1.4</v>
      </c>
      <c r="F6" s="2" t="s">
        <v>2</v>
      </c>
      <c r="G6" s="5">
        <v>133045.9295073009</v>
      </c>
      <c r="H6" s="5">
        <v>132578.10780883918</v>
      </c>
      <c r="I6" s="5">
        <v>131967.59661118552</v>
      </c>
      <c r="J6" s="5">
        <v>131158.84255647365</v>
      </c>
      <c r="K6" s="5">
        <v>130069.3473696296</v>
      </c>
      <c r="L6" s="5">
        <v>128573.64252990294</v>
      </c>
      <c r="M6" s="5">
        <v>126475.70467058716</v>
      </c>
      <c r="N6" s="5">
        <v>123459.75806418486</v>
      </c>
      <c r="O6" s="5">
        <v>118998.90666853516</v>
      </c>
      <c r="P6" s="5">
        <v>112177.34067851237</v>
      </c>
      <c r="Q6" s="5">
        <v>101325</v>
      </c>
    </row>
    <row r="7" spans="2:18" x14ac:dyDescent="0.25">
      <c r="B7" s="3" t="s">
        <v>7</v>
      </c>
      <c r="C7" s="3">
        <v>286.97199999999998</v>
      </c>
      <c r="F7" s="2" t="s">
        <v>13</v>
      </c>
      <c r="G7" s="5">
        <v>1.1850000000000001</v>
      </c>
      <c r="H7" s="5">
        <v>1.1850000000000001</v>
      </c>
      <c r="I7" s="5">
        <v>1.1850000000000001</v>
      </c>
      <c r="J7" s="5">
        <v>1.1850000000000001</v>
      </c>
      <c r="K7" s="5">
        <v>1.1850000000000001</v>
      </c>
      <c r="L7" s="5">
        <v>1.1850000000000001</v>
      </c>
      <c r="M7" s="5">
        <v>1.1850000000000001</v>
      </c>
      <c r="N7" s="5">
        <v>1.1850000000000001</v>
      </c>
      <c r="O7" s="5">
        <v>1.1850000000000001</v>
      </c>
      <c r="P7" s="5">
        <v>1.1850000000000001</v>
      </c>
      <c r="Q7" s="5">
        <v>1.1850000000000001</v>
      </c>
    </row>
    <row r="8" spans="2:18" x14ac:dyDescent="0.25">
      <c r="B8" s="3" t="s">
        <v>3</v>
      </c>
      <c r="C8" s="3">
        <v>1004.4</v>
      </c>
    </row>
    <row r="10" spans="2:18" x14ac:dyDescent="0.25">
      <c r="B10" s="4" t="s">
        <v>8</v>
      </c>
      <c r="C10" s="4">
        <v>135000</v>
      </c>
      <c r="F10" s="6" t="s">
        <v>14</v>
      </c>
      <c r="G10" s="6">
        <f>G4*G7*G13</f>
        <v>1.3682773293567292</v>
      </c>
      <c r="H10" s="6">
        <f>H4*H7*H13</f>
        <v>1.3682773238487098</v>
      </c>
      <c r="I10" s="6">
        <f t="shared" ref="I10:Q10" si="1">I4*I7*I13</f>
        <v>1.3682770197255008</v>
      </c>
      <c r="J10" s="6">
        <f t="shared" si="1"/>
        <v>1.368276754836113</v>
      </c>
      <c r="K10" s="6">
        <f t="shared" si="1"/>
        <v>1.3682765373842638</v>
      </c>
      <c r="L10" s="6">
        <f t="shared" si="1"/>
        <v>1.3682763728927669</v>
      </c>
      <c r="M10" s="6">
        <f t="shared" si="1"/>
        <v>1.3682762627696214</v>
      </c>
      <c r="N10" s="6">
        <f t="shared" si="1"/>
        <v>1.3682762029050117</v>
      </c>
      <c r="O10" s="6">
        <f t="shared" si="1"/>
        <v>1.3682761828314929</v>
      </c>
      <c r="P10" s="6">
        <f t="shared" si="1"/>
        <v>1.3682761863775799</v>
      </c>
      <c r="Q10" s="6">
        <f t="shared" si="1"/>
        <v>1.3682761950649371</v>
      </c>
    </row>
    <row r="11" spans="2:18" x14ac:dyDescent="0.25">
      <c r="B11" s="4" t="s">
        <v>9</v>
      </c>
      <c r="C11" s="4">
        <v>288.16000000000003</v>
      </c>
      <c r="F11" s="6" t="s">
        <v>15</v>
      </c>
      <c r="G11" s="6">
        <v>0</v>
      </c>
      <c r="H11" s="6">
        <f>H13*(H10-I10)</f>
        <v>1.935210832683062E-5</v>
      </c>
      <c r="I11" s="6">
        <f t="shared" ref="I11:P11" si="2">I13*(I10-J10)</f>
        <v>1.8780423294580902E-5</v>
      </c>
      <c r="J11" s="6">
        <f t="shared" si="2"/>
        <v>1.7284268561438095E-5</v>
      </c>
      <c r="K11" s="6">
        <f t="shared" si="2"/>
        <v>1.476009530168635E-5</v>
      </c>
      <c r="L11" s="6">
        <f t="shared" si="2"/>
        <v>1.1242987083822606E-5</v>
      </c>
      <c r="M11" s="6">
        <f t="shared" si="2"/>
        <v>7.016163018626813E-6</v>
      </c>
      <c r="N11" s="6">
        <f t="shared" si="2"/>
        <v>2.7284900448520386E-6</v>
      </c>
      <c r="O11" s="6">
        <f t="shared" si="2"/>
        <v>-5.6568212218801039E-7</v>
      </c>
      <c r="P11" s="6">
        <f t="shared" si="2"/>
        <v>-1.64925525016774E-6</v>
      </c>
      <c r="Q11" s="6">
        <v>0</v>
      </c>
    </row>
    <row r="12" spans="2:18" x14ac:dyDescent="0.25">
      <c r="B12" s="4" t="s">
        <v>2</v>
      </c>
      <c r="C12" s="4">
        <v>101325</v>
      </c>
    </row>
    <row r="13" spans="2:18" x14ac:dyDescent="0.25">
      <c r="F13" s="2" t="s">
        <v>1</v>
      </c>
      <c r="G13" s="2">
        <f>(H5*H4*H7)/(G4*G7)</f>
        <v>57.428296542115184</v>
      </c>
      <c r="H13" s="2">
        <f>((G6-H6)/H7+G5*H5)^0.5</f>
        <v>63.632461286356552</v>
      </c>
      <c r="I13" s="2">
        <f t="shared" ref="I13:Q13" si="3">((H6-I6)/I7+H5*I5)^0.5</f>
        <v>70.89911548951666</v>
      </c>
      <c r="J13" s="2">
        <f t="shared" si="3"/>
        <v>79.485498171311207</v>
      </c>
      <c r="K13" s="2">
        <f t="shared" si="3"/>
        <v>89.731661409450865</v>
      </c>
      <c r="L13" s="2">
        <f t="shared" si="3"/>
        <v>102.0946780411314</v>
      </c>
      <c r="M13" s="2">
        <f t="shared" si="3"/>
        <v>117.20051382883962</v>
      </c>
      <c r="N13" s="2">
        <f t="shared" si="3"/>
        <v>135.92485032790415</v>
      </c>
      <c r="O13" s="2">
        <f t="shared" si="3"/>
        <v>159.52291228063615</v>
      </c>
      <c r="P13" s="2">
        <f t="shared" si="3"/>
        <v>189.84544981772791</v>
      </c>
      <c r="Q13" s="2">
        <f t="shared" si="3"/>
        <v>229.7129957379274</v>
      </c>
    </row>
    <row r="14" spans="2:18" x14ac:dyDescent="0.25">
      <c r="B14" s="2" t="s">
        <v>10</v>
      </c>
      <c r="C14" s="2">
        <v>1900</v>
      </c>
      <c r="D14" s="1">
        <v>1900</v>
      </c>
      <c r="F14" s="2" t="s">
        <v>2</v>
      </c>
      <c r="G14" s="2">
        <f>C10-(G7*G13^2)/2</f>
        <v>133045.92952309048</v>
      </c>
      <c r="H14" s="2">
        <f>H6+H11</f>
        <v>132578.10782819128</v>
      </c>
      <c r="I14" s="2">
        <f t="shared" ref="I14:Q14" si="4">I6+I11</f>
        <v>131967.59662996593</v>
      </c>
      <c r="J14" s="2">
        <f t="shared" si="4"/>
        <v>131158.84257375792</v>
      </c>
      <c r="K14" s="2">
        <f t="shared" si="4"/>
        <v>130069.34738438969</v>
      </c>
      <c r="L14" s="2">
        <f t="shared" si="4"/>
        <v>128573.64254114592</v>
      </c>
      <c r="M14" s="2">
        <f t="shared" si="4"/>
        <v>126475.70467760332</v>
      </c>
      <c r="N14" s="2">
        <f t="shared" si="4"/>
        <v>123459.75806691335</v>
      </c>
      <c r="O14" s="2">
        <f t="shared" si="4"/>
        <v>118998.90666796948</v>
      </c>
      <c r="P14" s="2">
        <f t="shared" si="4"/>
        <v>112177.34067686311</v>
      </c>
      <c r="Q14" s="2">
        <f t="shared" si="4"/>
        <v>101325</v>
      </c>
    </row>
    <row r="15" spans="2:18" x14ac:dyDescent="0.25">
      <c r="F15" s="2" t="s">
        <v>13</v>
      </c>
      <c r="G15" s="2">
        <v>1.1850000000000001</v>
      </c>
      <c r="H15" s="2">
        <v>1.1850000000000001</v>
      </c>
      <c r="I15" s="2">
        <v>1.1850000000000001</v>
      </c>
      <c r="J15" s="2">
        <v>1.1850000000000001</v>
      </c>
      <c r="K15" s="2">
        <v>1.1850000000000001</v>
      </c>
      <c r="L15" s="2">
        <v>1.1850000000000001</v>
      </c>
      <c r="M15" s="2">
        <v>1.1850000000000001</v>
      </c>
      <c r="N15" s="2">
        <v>1.1850000000000001</v>
      </c>
      <c r="O15" s="2">
        <v>1.1850000000000001</v>
      </c>
      <c r="P15" s="2">
        <v>1.1850000000000001</v>
      </c>
      <c r="Q15" s="2">
        <v>1.1850000000000001</v>
      </c>
      <c r="R15" s="2"/>
    </row>
    <row r="17" spans="6:17" x14ac:dyDescent="0.25">
      <c r="F17" s="2" t="s">
        <v>16</v>
      </c>
      <c r="G17" s="2">
        <f>$C$11-(G13^2)/(2*$C$8)</f>
        <v>286.51821921359567</v>
      </c>
      <c r="H17" s="2">
        <f t="shared" ref="H17:Q17" si="5">$C$11-(H13^2)/(2*$C$8)</f>
        <v>286.1443239101157</v>
      </c>
      <c r="I17" s="2">
        <f t="shared" si="5"/>
        <v>285.65766797232391</v>
      </c>
      <c r="J17" s="2">
        <f t="shared" si="5"/>
        <v>285.01486637816532</v>
      </c>
      <c r="K17" s="2">
        <f t="shared" si="5"/>
        <v>284.15175076697517</v>
      </c>
      <c r="L17" s="2">
        <f t="shared" si="5"/>
        <v>282.97116921330036</v>
      </c>
      <c r="M17" s="2">
        <f t="shared" si="5"/>
        <v>281.32210651048189</v>
      </c>
      <c r="N17" s="2">
        <f t="shared" si="5"/>
        <v>278.96268571452453</v>
      </c>
      <c r="O17" s="2">
        <f t="shared" si="5"/>
        <v>275.4919596064837</v>
      </c>
      <c r="P17" s="2">
        <f t="shared" si="5"/>
        <v>270.21829608896087</v>
      </c>
      <c r="Q17" s="2">
        <f t="shared" si="5"/>
        <v>261.89155097028424</v>
      </c>
    </row>
    <row r="18" spans="6:17" x14ac:dyDescent="0.25">
      <c r="F18" s="2" t="s">
        <v>17</v>
      </c>
      <c r="G18" s="2">
        <f>SQRT($C$7*$C$6*G17)</f>
        <v>339.2812829582993</v>
      </c>
      <c r="H18" s="2">
        <f t="shared" ref="H18:Q18" si="6">SQRT($C$7*$C$6*H17)</f>
        <v>339.05983614929562</v>
      </c>
      <c r="I18" s="2">
        <f t="shared" si="6"/>
        <v>338.77138782768418</v>
      </c>
      <c r="J18" s="2">
        <f t="shared" si="6"/>
        <v>338.390012748581</v>
      </c>
      <c r="K18" s="2">
        <f t="shared" si="6"/>
        <v>337.87724799036192</v>
      </c>
      <c r="L18" s="2">
        <f t="shared" si="6"/>
        <v>337.17461843986848</v>
      </c>
      <c r="M18" s="2">
        <f t="shared" si="6"/>
        <v>336.19071160479194</v>
      </c>
      <c r="N18" s="2">
        <f t="shared" si="6"/>
        <v>334.77794399096234</v>
      </c>
      <c r="O18" s="2">
        <f t="shared" si="6"/>
        <v>332.68884875370946</v>
      </c>
      <c r="P18" s="2">
        <f t="shared" si="6"/>
        <v>329.48917859519725</v>
      </c>
      <c r="Q18" s="2">
        <f t="shared" si="6"/>
        <v>324.37287036844214</v>
      </c>
    </row>
    <row r="19" spans="6:17" x14ac:dyDescent="0.25">
      <c r="F19" s="2" t="s">
        <v>18</v>
      </c>
      <c r="G19" s="2">
        <f>G13/G18</f>
        <v>0.16926455842591717</v>
      </c>
      <c r="H19" s="2">
        <f t="shared" ref="H19:Q19" si="7">H13/H18</f>
        <v>0.18767324968073706</v>
      </c>
      <c r="I19" s="2">
        <f t="shared" si="7"/>
        <v>0.20928306827842097</v>
      </c>
      <c r="J19" s="2">
        <f t="shared" si="7"/>
        <v>0.23489315634846414</v>
      </c>
      <c r="K19" s="2">
        <f t="shared" si="7"/>
        <v>0.26557473740288812</v>
      </c>
      <c r="L19" s="2">
        <f t="shared" si="7"/>
        <v>0.30279467213021821</v>
      </c>
      <c r="M19" s="2">
        <f t="shared" si="7"/>
        <v>0.3486131822898616</v>
      </c>
      <c r="N19" s="2">
        <f t="shared" si="7"/>
        <v>0.40601495041015478</v>
      </c>
      <c r="O19" s="2">
        <f t="shared" si="7"/>
        <v>0.47949581982752726</v>
      </c>
      <c r="P19" s="2">
        <f t="shared" si="7"/>
        <v>0.57618113780594782</v>
      </c>
      <c r="Q19" s="2">
        <f t="shared" si="7"/>
        <v>0.70817573453971538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at">
                <anchor moveWithCells="1">
                  <from>
                    <xdr:col>1</xdr:col>
                    <xdr:colOff>66675</xdr:colOff>
                    <xdr:row>15</xdr:row>
                    <xdr:rowOff>85725</xdr:rowOff>
                  </from>
                  <to>
                    <xdr:col>2</xdr:col>
                    <xdr:colOff>514350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AC31"/>
  <sheetViews>
    <sheetView topLeftCell="A6" zoomScale="55" zoomScaleNormal="55" workbookViewId="0">
      <selection activeCell="G5" sqref="G5:Q7"/>
    </sheetView>
  </sheetViews>
  <sheetFormatPr defaultRowHeight="15" x14ac:dyDescent="0.25"/>
  <cols>
    <col min="1" max="2" width="9.140625" style="1"/>
    <col min="3" max="3" width="10.140625" style="1" bestFit="1" customWidth="1"/>
    <col min="4" max="6" width="9.140625" style="1"/>
    <col min="7" max="8" width="11.140625" style="1" bestFit="1" customWidth="1"/>
    <col min="9" max="9" width="12.140625" style="1" customWidth="1"/>
    <col min="10" max="10" width="13" style="1" customWidth="1"/>
    <col min="11" max="11" width="14" style="1" customWidth="1"/>
    <col min="12" max="12" width="12.7109375" style="1" customWidth="1"/>
    <col min="13" max="13" width="12.140625" style="1" customWidth="1"/>
    <col min="14" max="14" width="12.7109375" style="1" customWidth="1"/>
    <col min="15" max="15" width="13.5703125" style="1" customWidth="1"/>
    <col min="16" max="16" width="14" style="1" customWidth="1"/>
    <col min="17" max="17" width="15.42578125" style="1" customWidth="1"/>
    <col min="18" max="16384" width="9.140625" style="1"/>
  </cols>
  <sheetData>
    <row r="1" spans="2:18" x14ac:dyDescent="0.25">
      <c r="F1" s="2" t="s">
        <v>11</v>
      </c>
      <c r="G1" s="5">
        <v>1</v>
      </c>
      <c r="H1" s="5">
        <v>2</v>
      </c>
      <c r="I1" s="5">
        <v>3</v>
      </c>
      <c r="J1" s="5">
        <v>4</v>
      </c>
      <c r="K1" s="5">
        <v>5</v>
      </c>
      <c r="L1" s="5">
        <v>6</v>
      </c>
      <c r="M1" s="5">
        <v>7</v>
      </c>
      <c r="N1" s="5">
        <v>8</v>
      </c>
      <c r="O1" s="5">
        <v>9</v>
      </c>
      <c r="P1" s="5">
        <v>10</v>
      </c>
      <c r="Q1" s="5">
        <v>11</v>
      </c>
    </row>
    <row r="2" spans="2:18" x14ac:dyDescent="0.25">
      <c r="F2" s="2" t="s">
        <v>0</v>
      </c>
      <c r="G2" s="5">
        <v>0</v>
      </c>
      <c r="H2" s="5">
        <v>0.01</v>
      </c>
      <c r="I2" s="5">
        <v>0.02</v>
      </c>
      <c r="J2" s="5">
        <v>0.03</v>
      </c>
      <c r="K2" s="5">
        <v>0.04</v>
      </c>
      <c r="L2" s="5">
        <v>0.05</v>
      </c>
      <c r="M2" s="5">
        <v>0.06</v>
      </c>
      <c r="N2" s="5">
        <v>7.0000000000000007E-2</v>
      </c>
      <c r="O2" s="5">
        <v>0.08</v>
      </c>
      <c r="P2" s="5">
        <v>0.09</v>
      </c>
      <c r="Q2" s="5">
        <v>0.1</v>
      </c>
    </row>
    <row r="3" spans="2:18" x14ac:dyDescent="0.25">
      <c r="B3" s="2" t="s">
        <v>4</v>
      </c>
      <c r="C3" s="2">
        <v>0.1</v>
      </c>
      <c r="F3" s="2" t="s">
        <v>7</v>
      </c>
      <c r="G3" s="5">
        <v>0.08</v>
      </c>
      <c r="H3" s="5">
        <v>7.5999999999999998E-2</v>
      </c>
      <c r="I3" s="5">
        <v>7.1999999999999995E-2</v>
      </c>
      <c r="J3" s="5">
        <v>6.8000000000000005E-2</v>
      </c>
      <c r="K3" s="5">
        <v>6.4000000000000001E-2</v>
      </c>
      <c r="L3" s="5">
        <v>0.06</v>
      </c>
      <c r="M3" s="5">
        <v>5.6000000000000001E-2</v>
      </c>
      <c r="N3" s="5">
        <v>5.1999999999999998E-2</v>
      </c>
      <c r="O3" s="5">
        <v>4.8000000000000001E-2</v>
      </c>
      <c r="P3" s="5">
        <v>4.3999999999999997E-2</v>
      </c>
      <c r="Q3" s="5">
        <v>0.04</v>
      </c>
    </row>
    <row r="4" spans="2:18" x14ac:dyDescent="0.25">
      <c r="B4" s="2" t="s">
        <v>5</v>
      </c>
      <c r="C4" s="2">
        <v>0.01</v>
      </c>
      <c r="F4" s="2" t="s">
        <v>12</v>
      </c>
      <c r="G4" s="5">
        <f>(PI()*(2*G3)^2)/4</f>
        <v>2.0106192982974676E-2</v>
      </c>
      <c r="H4" s="5">
        <f t="shared" ref="H4:Q4" si="0">(PI()*(2*H3)^2)/4</f>
        <v>1.8145839167134643E-2</v>
      </c>
      <c r="I4" s="5">
        <f t="shared" si="0"/>
        <v>1.6286016316209486E-2</v>
      </c>
      <c r="J4" s="5">
        <f t="shared" si="0"/>
        <v>1.4526724430199206E-2</v>
      </c>
      <c r="K4" s="5">
        <f t="shared" si="0"/>
        <v>1.2867963509103792E-2</v>
      </c>
      <c r="L4" s="5">
        <f t="shared" si="0"/>
        <v>1.1309733552923255E-2</v>
      </c>
      <c r="M4" s="5">
        <f t="shared" si="0"/>
        <v>9.8520345616575928E-3</v>
      </c>
      <c r="N4" s="5">
        <f t="shared" si="0"/>
        <v>8.4948665353067991E-3</v>
      </c>
      <c r="O4" s="5">
        <f t="shared" si="0"/>
        <v>7.2382294738708832E-3</v>
      </c>
      <c r="P4" s="5">
        <f t="shared" si="0"/>
        <v>6.0821233773498389E-3</v>
      </c>
      <c r="Q4" s="5">
        <f t="shared" si="0"/>
        <v>5.0265482457436689E-3</v>
      </c>
    </row>
    <row r="5" spans="2:18" x14ac:dyDescent="0.25">
      <c r="F5" s="2" t="s">
        <v>1</v>
      </c>
      <c r="G5" s="5">
        <v>41.993668588018622</v>
      </c>
      <c r="H5" s="5">
        <v>46.61907204497701</v>
      </c>
      <c r="I5" s="5">
        <v>52.075590331045284</v>
      </c>
      <c r="J5" s="5">
        <v>58.581784390345966</v>
      </c>
      <c r="K5" s="5">
        <v>66.442537291308867</v>
      </c>
      <c r="L5" s="5">
        <v>76.094124588140872</v>
      </c>
      <c r="M5" s="5">
        <v>88.189706675568104</v>
      </c>
      <c r="N5" s="5">
        <v>103.77169557566428</v>
      </c>
      <c r="O5" s="5">
        <v>124.67541305827088</v>
      </c>
      <c r="P5" s="5">
        <v>154.73861885378389</v>
      </c>
      <c r="Q5" s="5">
        <v>205.87785297932484</v>
      </c>
    </row>
    <row r="6" spans="2:18" x14ac:dyDescent="0.25">
      <c r="B6" s="3" t="s">
        <v>6</v>
      </c>
      <c r="C6" s="3">
        <v>1.4</v>
      </c>
      <c r="F6" s="2" t="s">
        <v>2</v>
      </c>
      <c r="G6" s="5">
        <v>133571.42493094402</v>
      </c>
      <c r="H6" s="5">
        <v>133222.71981597415</v>
      </c>
      <c r="I6" s="5">
        <v>132764.36441804148</v>
      </c>
      <c r="J6" s="5">
        <v>132151.6263749038</v>
      </c>
      <c r="K6" s="5">
        <v>131315.86645446732</v>
      </c>
      <c r="L6" s="5">
        <v>130148.29688724953</v>
      </c>
      <c r="M6" s="5">
        <v>128468.55027074918</v>
      </c>
      <c r="N6" s="5">
        <v>125958.90011457432</v>
      </c>
      <c r="O6" s="5">
        <v>122007.60322068876</v>
      </c>
      <c r="P6" s="5">
        <v>115244.77245053669</v>
      </c>
      <c r="Q6" s="5">
        <v>101325</v>
      </c>
    </row>
    <row r="7" spans="2:18" x14ac:dyDescent="0.25">
      <c r="B7" s="3" t="s">
        <v>7</v>
      </c>
      <c r="C7" s="3">
        <v>286.97199999999998</v>
      </c>
      <c r="F7" s="2" t="s">
        <v>13</v>
      </c>
      <c r="G7" s="5">
        <v>1.6201880500419701</v>
      </c>
      <c r="H7" s="5">
        <v>1.617106865709413</v>
      </c>
      <c r="I7" s="5">
        <v>1.6130495079632678</v>
      </c>
      <c r="J7" s="5">
        <v>1.607613812915051</v>
      </c>
      <c r="K7" s="5">
        <v>1.6001798604202395</v>
      </c>
      <c r="L7" s="5">
        <v>1.5897594193252069</v>
      </c>
      <c r="M7" s="5">
        <v>1.5747016293835787</v>
      </c>
      <c r="N7" s="5">
        <v>1.5520689043173765</v>
      </c>
      <c r="O7" s="5">
        <v>1.5161256111803803</v>
      </c>
      <c r="P7" s="5">
        <v>1.4537658913689981</v>
      </c>
      <c r="Q7" s="5">
        <v>1.3221120139376714</v>
      </c>
    </row>
    <row r="8" spans="2:18" x14ac:dyDescent="0.25">
      <c r="B8" s="3" t="s">
        <v>3</v>
      </c>
      <c r="C8" s="3">
        <v>1004.4</v>
      </c>
    </row>
    <row r="10" spans="2:18" x14ac:dyDescent="0.25">
      <c r="B10" s="4" t="s">
        <v>8</v>
      </c>
      <c r="C10" s="4">
        <v>135000</v>
      </c>
      <c r="F10" s="6" t="s">
        <v>14</v>
      </c>
      <c r="G10" s="6">
        <f>G4*G7*G13</f>
        <v>1.3679789128489381</v>
      </c>
      <c r="H10" s="6">
        <f>H4*H7*H13</f>
        <v>1.3679799053657893</v>
      </c>
      <c r="I10" s="6">
        <f t="shared" ref="I10:Q10" si="1">I4*I7*I13</f>
        <v>1.3680343990380259</v>
      </c>
      <c r="J10" s="6">
        <f t="shared" si="1"/>
        <v>1.3680822808284849</v>
      </c>
      <c r="K10" s="6">
        <f t="shared" si="1"/>
        <v>1.3681224543610044</v>
      </c>
      <c r="L10" s="6">
        <f t="shared" si="1"/>
        <v>1.3681540489240136</v>
      </c>
      <c r="M10" s="6">
        <f t="shared" si="1"/>
        <v>1.3681765999876081</v>
      </c>
      <c r="N10" s="6">
        <f t="shared" si="1"/>
        <v>1.3681902764711737</v>
      </c>
      <c r="O10" s="6">
        <f t="shared" si="1"/>
        <v>1.3681961333125916</v>
      </c>
      <c r="P10" s="6">
        <f t="shared" si="1"/>
        <v>1.3681963286514474</v>
      </c>
      <c r="Q10" s="6">
        <f t="shared" si="1"/>
        <v>1.3681941895816292</v>
      </c>
    </row>
    <row r="11" spans="2:18" x14ac:dyDescent="0.25">
      <c r="B11" s="4" t="s">
        <v>9</v>
      </c>
      <c r="C11" s="4">
        <v>288.16000000000003</v>
      </c>
      <c r="F11" s="6" t="s">
        <v>15</v>
      </c>
      <c r="G11" s="6">
        <v>0</v>
      </c>
      <c r="H11" s="6">
        <f>H13*(H10-I10)</f>
        <v>-2.540446275177325E-3</v>
      </c>
      <c r="I11" s="6">
        <f t="shared" ref="I11:P11" si="2">I13*(I10-J10)</f>
        <v>-2.4934739590577355E-3</v>
      </c>
      <c r="J11" s="6">
        <f t="shared" si="2"/>
        <v>-2.3534382756907096E-3</v>
      </c>
      <c r="K11" s="6">
        <f t="shared" si="2"/>
        <v>-2.0992236133799938E-3</v>
      </c>
      <c r="L11" s="6">
        <f t="shared" si="2"/>
        <v>-1.716003816477644E-3</v>
      </c>
      <c r="M11" s="6">
        <f t="shared" si="2"/>
        <v>-1.2061252314767158E-3</v>
      </c>
      <c r="N11" s="6">
        <f t="shared" si="2"/>
        <v>-6.0777440497321907E-4</v>
      </c>
      <c r="O11" s="6">
        <f t="shared" si="2"/>
        <v>-2.4353953167257845E-5</v>
      </c>
      <c r="P11" s="6">
        <f t="shared" si="2"/>
        <v>3.3099671217524305E-4</v>
      </c>
      <c r="Q11" s="6">
        <v>0</v>
      </c>
    </row>
    <row r="12" spans="2:18" x14ac:dyDescent="0.25">
      <c r="B12" s="4" t="s">
        <v>2</v>
      </c>
      <c r="C12" s="4">
        <v>101325</v>
      </c>
    </row>
    <row r="13" spans="2:18" x14ac:dyDescent="0.25">
      <c r="F13" s="2" t="s">
        <v>1</v>
      </c>
      <c r="G13" s="2">
        <f>(H5*H4*H7)/(G4*G7)</f>
        <v>41.993699053125667</v>
      </c>
      <c r="H13" s="2">
        <f>((G6-H6)/H7+G5*H5)^0.5</f>
        <v>46.619105868754666</v>
      </c>
      <c r="I13" s="2">
        <f t="shared" ref="I13:Q13" si="3">((H6-I6)/I7+H5*I5)^0.5</f>
        <v>52.075620714155576</v>
      </c>
      <c r="J13" s="2">
        <f t="shared" si="3"/>
        <v>58.581810662232932</v>
      </c>
      <c r="K13" s="2">
        <f t="shared" si="3"/>
        <v>66.442558891261854</v>
      </c>
      <c r="L13" s="2">
        <f t="shared" si="3"/>
        <v>76.094141160425679</v>
      </c>
      <c r="M13" s="2">
        <f t="shared" si="3"/>
        <v>88.189718189406051</v>
      </c>
      <c r="N13" s="2">
        <f t="shared" si="3"/>
        <v>103.77170246078937</v>
      </c>
      <c r="O13" s="2">
        <f t="shared" si="3"/>
        <v>124.67541633142491</v>
      </c>
      <c r="P13" s="2">
        <f t="shared" si="3"/>
        <v>154.73862020055128</v>
      </c>
      <c r="Q13" s="2">
        <f t="shared" si="3"/>
        <v>205.87785498312525</v>
      </c>
    </row>
    <row r="14" spans="2:18" x14ac:dyDescent="0.25">
      <c r="B14" s="2" t="s">
        <v>10</v>
      </c>
      <c r="C14" s="2">
        <v>1000</v>
      </c>
      <c r="D14" s="1">
        <v>1000</v>
      </c>
      <c r="F14" s="2" t="s">
        <v>2</v>
      </c>
      <c r="G14" s="2">
        <f>C10-(G7*G13^2)/2</f>
        <v>133571.42287389154</v>
      </c>
      <c r="H14" s="2">
        <f>H6+H11</f>
        <v>133222.71727552789</v>
      </c>
      <c r="I14" s="2">
        <f t="shared" ref="I14:Q14" si="4">I6+I11</f>
        <v>132764.36192456752</v>
      </c>
      <c r="J14" s="2">
        <f t="shared" si="4"/>
        <v>132151.62402146554</v>
      </c>
      <c r="K14" s="2">
        <f t="shared" si="4"/>
        <v>131315.86435524371</v>
      </c>
      <c r="L14" s="2">
        <f t="shared" si="4"/>
        <v>130148.29517124571</v>
      </c>
      <c r="M14" s="2">
        <f t="shared" si="4"/>
        <v>128468.54906462395</v>
      </c>
      <c r="N14" s="2">
        <f t="shared" si="4"/>
        <v>125958.89950679992</v>
      </c>
      <c r="O14" s="2">
        <f t="shared" si="4"/>
        <v>122007.60319633481</v>
      </c>
      <c r="P14" s="2">
        <f t="shared" si="4"/>
        <v>115244.77278153341</v>
      </c>
      <c r="Q14" s="2">
        <f t="shared" si="4"/>
        <v>101325</v>
      </c>
    </row>
    <row r="15" spans="2:18" x14ac:dyDescent="0.25">
      <c r="F15" s="2" t="s">
        <v>13</v>
      </c>
      <c r="G15" s="2">
        <f>G14/($C$7*G17)</f>
        <v>1.6201880322739486</v>
      </c>
      <c r="H15" s="2">
        <f t="shared" ref="H15:Q15" si="5">H14/($C$7*H17)</f>
        <v>1.6171068437159035</v>
      </c>
      <c r="I15" s="2">
        <f t="shared" si="5"/>
        <v>1.613049486527846</v>
      </c>
      <c r="J15" s="2">
        <f t="shared" si="5"/>
        <v>1.607613792885255</v>
      </c>
      <c r="K15" s="2">
        <f t="shared" si="5"/>
        <v>1.6001798428352876</v>
      </c>
      <c r="L15" s="2">
        <f t="shared" si="5"/>
        <v>1.5897594053609059</v>
      </c>
      <c r="M15" s="2">
        <f t="shared" si="5"/>
        <v>1.5747016201992894</v>
      </c>
      <c r="N15" s="2">
        <f t="shared" si="5"/>
        <v>1.5520689007324264</v>
      </c>
      <c r="O15" s="2">
        <f t="shared" si="5"/>
        <v>1.5161256130744096</v>
      </c>
      <c r="P15" s="2">
        <f t="shared" si="5"/>
        <v>1.4537658966363096</v>
      </c>
      <c r="Q15" s="2">
        <f t="shared" si="5"/>
        <v>1.3221120159710429</v>
      </c>
      <c r="R15" s="2"/>
    </row>
    <row r="17" spans="6:29" x14ac:dyDescent="0.25">
      <c r="F17" s="2" t="s">
        <v>16</v>
      </c>
      <c r="G17" s="2">
        <f>$C$11-(G13^2)/(2*$C$8)</f>
        <v>287.28212725997389</v>
      </c>
      <c r="H17" s="2">
        <f t="shared" ref="H17:Q17" si="6">$C$11-(H13^2)/(2*$C$8)</f>
        <v>287.07808988848961</v>
      </c>
      <c r="I17" s="2">
        <f t="shared" si="6"/>
        <v>286.81000484231157</v>
      </c>
      <c r="J17" s="2">
        <f t="shared" si="6"/>
        <v>286.45160267798406</v>
      </c>
      <c r="K17" s="2">
        <f t="shared" si="6"/>
        <v>285.96236278772466</v>
      </c>
      <c r="L17" s="2">
        <f t="shared" si="6"/>
        <v>285.27752373608985</v>
      </c>
      <c r="M17" s="2">
        <f t="shared" si="6"/>
        <v>284.2883221852216</v>
      </c>
      <c r="N17" s="2">
        <f t="shared" si="6"/>
        <v>282.79930394682867</v>
      </c>
      <c r="O17" s="2">
        <f t="shared" si="6"/>
        <v>280.42206718567599</v>
      </c>
      <c r="P17" s="2">
        <f t="shared" si="6"/>
        <v>276.24042583553842</v>
      </c>
      <c r="Q17" s="2">
        <f t="shared" si="6"/>
        <v>267.05999443824538</v>
      </c>
    </row>
    <row r="18" spans="6:29" x14ac:dyDescent="0.25">
      <c r="F18" s="2" t="s">
        <v>17</v>
      </c>
      <c r="G18" s="2">
        <f>SQRT($C$7*$C$6*G17)</f>
        <v>339.73327372170792</v>
      </c>
      <c r="H18" s="2">
        <f t="shared" ref="H18:Q18" si="7">SQRT($C$7*$C$6*H17)</f>
        <v>339.61260732792516</v>
      </c>
      <c r="I18" s="2">
        <f t="shared" si="7"/>
        <v>339.45399834653733</v>
      </c>
      <c r="J18" s="2">
        <f t="shared" si="7"/>
        <v>339.2418385948128</v>
      </c>
      <c r="K18" s="2">
        <f t="shared" si="7"/>
        <v>338.95201377700425</v>
      </c>
      <c r="L18" s="2">
        <f t="shared" si="7"/>
        <v>338.54589963287168</v>
      </c>
      <c r="M18" s="2">
        <f t="shared" si="7"/>
        <v>337.95843494695077</v>
      </c>
      <c r="N18" s="2">
        <f t="shared" si="7"/>
        <v>337.07220976093686</v>
      </c>
      <c r="O18" s="2">
        <f t="shared" si="7"/>
        <v>335.65249001038399</v>
      </c>
      <c r="P18" s="2">
        <f t="shared" si="7"/>
        <v>333.14047258780579</v>
      </c>
      <c r="Q18" s="2">
        <f t="shared" si="7"/>
        <v>327.55799030630436</v>
      </c>
    </row>
    <row r="19" spans="6:29" x14ac:dyDescent="0.25">
      <c r="F19" s="2" t="s">
        <v>18</v>
      </c>
      <c r="G19" s="2">
        <f>G13/G18</f>
        <v>0.12360784857218535</v>
      </c>
      <c r="H19" s="2">
        <f t="shared" ref="H19:Q19" si="8">H13/H18</f>
        <v>0.13727142297676809</v>
      </c>
      <c r="I19" s="2">
        <f t="shared" si="8"/>
        <v>0.15340994941233038</v>
      </c>
      <c r="J19" s="2">
        <f t="shared" si="8"/>
        <v>0.17268450997933213</v>
      </c>
      <c r="K19" s="2">
        <f t="shared" si="8"/>
        <v>0.1960234965146844</v>
      </c>
      <c r="L19" s="2">
        <f t="shared" si="8"/>
        <v>0.22476757580861037</v>
      </c>
      <c r="M19" s="2">
        <f t="shared" si="8"/>
        <v>0.26094841575192274</v>
      </c>
      <c r="N19" s="2">
        <f t="shared" si="8"/>
        <v>0.30786193419620028</v>
      </c>
      <c r="O19" s="2">
        <f t="shared" si="8"/>
        <v>0.37144195273977521</v>
      </c>
      <c r="P19" s="2">
        <f t="shared" si="8"/>
        <v>0.46448460314219803</v>
      </c>
      <c r="Q19" s="2">
        <f t="shared" si="8"/>
        <v>0.62852337929722246</v>
      </c>
    </row>
    <row r="23" spans="6:29" x14ac:dyDescent="0.25">
      <c r="Q23" s="1" t="s">
        <v>21</v>
      </c>
      <c r="R23" s="2" t="s">
        <v>0</v>
      </c>
      <c r="S23" s="5">
        <v>0</v>
      </c>
      <c r="T23" s="5">
        <v>0.01</v>
      </c>
      <c r="U23" s="5">
        <v>0.02</v>
      </c>
      <c r="V23" s="5">
        <v>0.03</v>
      </c>
      <c r="W23" s="5">
        <v>0.04</v>
      </c>
      <c r="X23" s="5">
        <v>0.05</v>
      </c>
      <c r="Y23" s="5">
        <v>0.06</v>
      </c>
      <c r="Z23" s="5">
        <v>7.0000000000000007E-2</v>
      </c>
      <c r="AA23" s="5">
        <v>0.08</v>
      </c>
      <c r="AB23" s="5">
        <v>0.09</v>
      </c>
      <c r="AC23" s="5">
        <v>0.1</v>
      </c>
    </row>
    <row r="24" spans="6:29" x14ac:dyDescent="0.25">
      <c r="Q24" s="1">
        <v>11</v>
      </c>
      <c r="R24" s="6" t="s">
        <v>14</v>
      </c>
      <c r="S24" s="6">
        <v>5.0685530491895445</v>
      </c>
      <c r="T24" s="6">
        <v>5.0669589502687646</v>
      </c>
      <c r="U24" s="6">
        <v>4.5799752214677589</v>
      </c>
      <c r="V24" s="6">
        <v>3.9277806970315763</v>
      </c>
      <c r="W24" s="6">
        <v>2.8545095019591891</v>
      </c>
      <c r="X24" s="6">
        <v>1.4835598657608724</v>
      </c>
      <c r="Y24" s="6">
        <v>0.48907648679775911</v>
      </c>
      <c r="Z24" s="6">
        <v>0.11451399766814219</v>
      </c>
      <c r="AA24" s="6">
        <v>2.8695073010876936E-2</v>
      </c>
      <c r="AB24" s="6">
        <v>1.1119854042847682E-2</v>
      </c>
      <c r="AC24" s="6">
        <v>6.7669853965884293E-3</v>
      </c>
    </row>
    <row r="25" spans="6:29" x14ac:dyDescent="0.25">
      <c r="Q25" s="1">
        <v>21</v>
      </c>
      <c r="R25" s="6" t="s">
        <v>14</v>
      </c>
      <c r="S25" s="6">
        <v>5.0373997550592202</v>
      </c>
      <c r="T25" s="6">
        <v>5.0288892515787271</v>
      </c>
      <c r="U25" s="6">
        <v>4.5808600223775766</v>
      </c>
      <c r="V25" s="6">
        <v>4.1256156581397327</v>
      </c>
      <c r="W25" s="6">
        <v>3.6825139529353637</v>
      </c>
      <c r="X25" s="6">
        <v>3.2474651990292158</v>
      </c>
      <c r="Y25" s="6">
        <v>2.7945365444839987</v>
      </c>
      <c r="Z25" s="6">
        <v>2.2699770396701688</v>
      </c>
      <c r="AA25" s="6">
        <v>1.6395732054541987</v>
      </c>
      <c r="AB25" s="6">
        <v>0.9808132260239979</v>
      </c>
      <c r="AC25" s="6">
        <v>0.45968746387012227</v>
      </c>
    </row>
    <row r="26" spans="6:29" x14ac:dyDescent="0.25">
      <c r="Q26" s="1">
        <v>31</v>
      </c>
      <c r="R26" s="6" t="s">
        <v>14</v>
      </c>
      <c r="S26" s="6">
        <v>4.9813529829303729</v>
      </c>
      <c r="T26" s="6">
        <v>4.9728387630493831</v>
      </c>
      <c r="U26" s="6">
        <v>4.5310720594973919</v>
      </c>
      <c r="V26" s="6">
        <v>4.0836483923491986</v>
      </c>
      <c r="W26" s="6">
        <v>3.6500583696871916</v>
      </c>
      <c r="X26" s="6">
        <v>3.2341975577423407</v>
      </c>
      <c r="Y26" s="6">
        <v>2.8380814811231292</v>
      </c>
      <c r="Z26" s="6">
        <v>2.4627324927687799</v>
      </c>
      <c r="AA26" s="6">
        <v>2.1074540887805475</v>
      </c>
      <c r="AB26" s="6">
        <v>1.7680486629951475</v>
      </c>
      <c r="AC26" s="6">
        <v>1.4421090935987697</v>
      </c>
    </row>
    <row r="27" spans="6:29" x14ac:dyDescent="0.25">
      <c r="Q27" s="1">
        <v>51</v>
      </c>
      <c r="R27" s="6" t="s">
        <v>14</v>
      </c>
      <c r="S27" s="6">
        <v>4.8676928783465812</v>
      </c>
      <c r="T27" s="6">
        <v>4.8594112802884224</v>
      </c>
      <c r="U27" s="6">
        <v>4.4295445637395989</v>
      </c>
      <c r="V27" s="6">
        <v>3.9959061704638046</v>
      </c>
      <c r="W27" s="6">
        <v>3.575296181623107</v>
      </c>
      <c r="X27" s="6">
        <v>3.1713649725800415</v>
      </c>
      <c r="Y27" s="6">
        <v>2.786198210834816</v>
      </c>
      <c r="Z27" s="6">
        <v>2.42138175796602</v>
      </c>
      <c r="AA27" s="6">
        <v>2.0782914509658394</v>
      </c>
      <c r="AB27" s="6">
        <v>1.7589599739314892</v>
      </c>
      <c r="AC27" s="6">
        <v>1.4836515382625715</v>
      </c>
    </row>
    <row r="28" spans="6:29" x14ac:dyDescent="0.25">
      <c r="Q28" s="1">
        <v>71</v>
      </c>
      <c r="R28" s="6" t="s">
        <v>14</v>
      </c>
      <c r="S28" s="6">
        <v>4.7535960512138464</v>
      </c>
      <c r="T28" s="6">
        <v>4.7455560798618439</v>
      </c>
      <c r="U28" s="6">
        <v>4.3277670734952745</v>
      </c>
      <c r="V28" s="6">
        <v>3.9078752574302187</v>
      </c>
      <c r="W28" s="6">
        <v>3.500211031986554</v>
      </c>
      <c r="X28" s="6">
        <v>3.1081427814021523</v>
      </c>
      <c r="Y28" s="6">
        <v>2.7336845031383628</v>
      </c>
      <c r="Z28" s="6">
        <v>2.3784170804151743</v>
      </c>
      <c r="AA28" s="6">
        <v>2.0438434996553267</v>
      </c>
      <c r="AB28" s="6">
        <v>1.7335464655714259</v>
      </c>
      <c r="AC28" s="6">
        <v>1.4777186981978501</v>
      </c>
    </row>
    <row r="29" spans="6:29" x14ac:dyDescent="0.25">
      <c r="Q29" s="1">
        <v>101</v>
      </c>
      <c r="R29" s="6" t="s">
        <v>14</v>
      </c>
      <c r="S29" s="6">
        <v>4.5829447507854422</v>
      </c>
      <c r="T29" s="6">
        <v>4.5752759192895711</v>
      </c>
      <c r="U29" s="6">
        <v>4.1758482532160812</v>
      </c>
      <c r="V29" s="6">
        <v>3.7763615200777925</v>
      </c>
      <c r="W29" s="6">
        <v>3.3879466331749541</v>
      </c>
      <c r="X29" s="6">
        <v>3.0135647690589562</v>
      </c>
      <c r="Y29" s="6">
        <v>2.655113988671757</v>
      </c>
      <c r="Z29" s="6">
        <v>2.3141869322507733</v>
      </c>
      <c r="AA29" s="6">
        <v>1.9927356331134884</v>
      </c>
      <c r="AB29" s="6">
        <v>1.697583461136891</v>
      </c>
      <c r="AC29" s="6">
        <v>1.46915618529652</v>
      </c>
    </row>
    <row r="30" spans="6:29" x14ac:dyDescent="0.25">
      <c r="Q30" s="1">
        <v>201</v>
      </c>
      <c r="R30" s="6" t="s">
        <v>14</v>
      </c>
      <c r="S30" s="6">
        <v>4.0357818214024359</v>
      </c>
      <c r="T30" s="6">
        <v>4.0293485569951839</v>
      </c>
      <c r="U30" s="6">
        <v>3.6908139728389697</v>
      </c>
      <c r="V30" s="6">
        <v>3.3553340784282377</v>
      </c>
      <c r="W30" s="6">
        <v>3.0274501757487395</v>
      </c>
      <c r="X30" s="6">
        <v>2.7090779987354887</v>
      </c>
      <c r="Y30" s="6">
        <v>2.4019074951114359</v>
      </c>
      <c r="Z30" s="6">
        <v>2.1083353214071727</v>
      </c>
      <c r="AA30" s="6">
        <v>1.8342202238470859</v>
      </c>
      <c r="AB30" s="6">
        <v>1.5974630287719935</v>
      </c>
      <c r="AC30" s="6">
        <v>1.4443492550053929</v>
      </c>
    </row>
    <row r="31" spans="6:29" x14ac:dyDescent="0.25">
      <c r="Q31" s="1">
        <v>201</v>
      </c>
      <c r="R31" s="6" t="s">
        <v>14</v>
      </c>
      <c r="S31" s="6">
        <v>4.0357818214024359</v>
      </c>
      <c r="T31" s="6">
        <v>4.0293485569951839</v>
      </c>
      <c r="U31" s="6">
        <v>3.6908139728389697</v>
      </c>
      <c r="V31" s="6">
        <v>3.3553340784282377</v>
      </c>
      <c r="W31" s="6">
        <v>3.0274501757487395</v>
      </c>
      <c r="X31" s="6">
        <v>2.7090779987354887</v>
      </c>
      <c r="Y31" s="6">
        <v>2.4019074951114359</v>
      </c>
      <c r="Z31" s="6">
        <v>2.1083353214071727</v>
      </c>
      <c r="AA31" s="6">
        <v>1.8342202238470859</v>
      </c>
      <c r="AB31" s="6">
        <v>1.5974630287719935</v>
      </c>
      <c r="AC31" s="6">
        <v>1.4443492550053929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terat">
                <anchor moveWithCells="1" sizeWithCells="1">
                  <from>
                    <xdr:col>1</xdr:col>
                    <xdr:colOff>419100</xdr:colOff>
                    <xdr:row>15</xdr:row>
                    <xdr:rowOff>180975</xdr:rowOff>
                  </from>
                  <to>
                    <xdr:col>4</xdr:col>
                    <xdr:colOff>28575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X37"/>
  <sheetViews>
    <sheetView tabSelected="1" topLeftCell="G11" zoomScale="85" zoomScaleNormal="85" workbookViewId="0">
      <selection activeCell="P11" sqref="P11"/>
    </sheetView>
  </sheetViews>
  <sheetFormatPr defaultRowHeight="15" x14ac:dyDescent="0.25"/>
  <cols>
    <col min="1" max="2" width="9.140625" style="1"/>
    <col min="3" max="3" width="10.140625" style="1" bestFit="1" customWidth="1"/>
    <col min="4" max="5" width="9.140625" style="1"/>
    <col min="6" max="6" width="14.28515625" style="1" customWidth="1"/>
    <col min="7" max="7" width="11.140625" style="1" customWidth="1"/>
    <col min="8" max="8" width="11.140625" style="1" bestFit="1" customWidth="1"/>
    <col min="9" max="9" width="12.140625" style="1" customWidth="1"/>
    <col min="10" max="10" width="13" style="1" customWidth="1"/>
    <col min="11" max="11" width="14" style="1" customWidth="1"/>
    <col min="12" max="12" width="12.7109375" style="1" customWidth="1"/>
    <col min="13" max="13" width="12.140625" style="1" customWidth="1"/>
    <col min="14" max="14" width="12.7109375" style="1" customWidth="1"/>
    <col min="15" max="15" width="13.5703125" style="1" customWidth="1"/>
    <col min="16" max="16" width="14" style="1" customWidth="1"/>
    <col min="17" max="17" width="15.42578125" style="1" customWidth="1"/>
    <col min="18" max="22" width="9.140625" style="1"/>
    <col min="23" max="23" width="11" style="1" customWidth="1"/>
    <col min="24" max="24" width="13.5703125" style="1" customWidth="1"/>
    <col min="25" max="16384" width="9.140625" style="1"/>
  </cols>
  <sheetData>
    <row r="1" spans="2:18" x14ac:dyDescent="0.25">
      <c r="F1" s="2" t="s">
        <v>11</v>
      </c>
      <c r="G1" s="5">
        <v>1</v>
      </c>
      <c r="H1" s="5">
        <v>2</v>
      </c>
      <c r="I1" s="5">
        <v>3</v>
      </c>
      <c r="J1" s="5">
        <v>4</v>
      </c>
      <c r="K1" s="5">
        <v>5</v>
      </c>
      <c r="L1" s="5">
        <v>6</v>
      </c>
      <c r="M1" s="5">
        <v>7</v>
      </c>
      <c r="N1" s="5">
        <v>8</v>
      </c>
      <c r="O1" s="5">
        <v>9</v>
      </c>
      <c r="P1" s="5">
        <v>10</v>
      </c>
      <c r="Q1" s="5">
        <v>11</v>
      </c>
    </row>
    <row r="2" spans="2:18" x14ac:dyDescent="0.25">
      <c r="F2" s="2" t="s">
        <v>0</v>
      </c>
      <c r="G2" s="5">
        <v>0</v>
      </c>
      <c r="H2" s="5">
        <v>0.01</v>
      </c>
      <c r="I2" s="5">
        <v>0.02</v>
      </c>
      <c r="J2" s="5">
        <v>0.03</v>
      </c>
      <c r="K2" s="5">
        <v>0.04</v>
      </c>
      <c r="L2" s="5">
        <v>0.05</v>
      </c>
      <c r="M2" s="5">
        <v>0.06</v>
      </c>
      <c r="N2" s="5">
        <v>7.0000000000000007E-2</v>
      </c>
      <c r="O2" s="5">
        <v>0.08</v>
      </c>
      <c r="P2" s="5">
        <v>0.09</v>
      </c>
      <c r="Q2" s="5">
        <v>0.1</v>
      </c>
    </row>
    <row r="3" spans="2:18" x14ac:dyDescent="0.25">
      <c r="B3" s="2" t="s">
        <v>4</v>
      </c>
      <c r="C3" s="2">
        <v>0.1</v>
      </c>
      <c r="F3" s="2" t="s">
        <v>7</v>
      </c>
      <c r="G3" s="5">
        <v>0.08</v>
      </c>
      <c r="H3" s="5">
        <v>7.5999999999999998E-2</v>
      </c>
      <c r="I3" s="5">
        <v>7.1999999999999995E-2</v>
      </c>
      <c r="J3" s="5">
        <v>6.8000000000000005E-2</v>
      </c>
      <c r="K3" s="5">
        <v>6.4000000000000001E-2</v>
      </c>
      <c r="L3" s="5">
        <v>0.06</v>
      </c>
      <c r="M3" s="5">
        <v>5.6000000000000001E-2</v>
      </c>
      <c r="N3" s="5">
        <v>5.1999999999999998E-2</v>
      </c>
      <c r="O3" s="5">
        <v>4.8000000000000001E-2</v>
      </c>
      <c r="P3" s="5">
        <v>4.3999999999999997E-2</v>
      </c>
      <c r="Q3" s="5">
        <v>0.04</v>
      </c>
    </row>
    <row r="4" spans="2:18" x14ac:dyDescent="0.25">
      <c r="B4" s="2" t="s">
        <v>5</v>
      </c>
      <c r="C4" s="2">
        <v>0.01</v>
      </c>
      <c r="F4" s="2" t="s">
        <v>12</v>
      </c>
      <c r="G4" s="5">
        <f>(PI()*(2*G3)^2)/4</f>
        <v>2.0106192982974676E-2</v>
      </c>
      <c r="H4" s="5">
        <f t="shared" ref="H4:Q4" si="0">(PI()*(2*H3)^2)/4</f>
        <v>1.8145839167134643E-2</v>
      </c>
      <c r="I4" s="5">
        <f t="shared" si="0"/>
        <v>1.6286016316209486E-2</v>
      </c>
      <c r="J4" s="5">
        <f t="shared" si="0"/>
        <v>1.4526724430199206E-2</v>
      </c>
      <c r="K4" s="5">
        <f t="shared" si="0"/>
        <v>1.2867963509103792E-2</v>
      </c>
      <c r="L4" s="5">
        <f t="shared" si="0"/>
        <v>1.1309733552923255E-2</v>
      </c>
      <c r="M4" s="5">
        <f t="shared" si="0"/>
        <v>9.8520345616575928E-3</v>
      </c>
      <c r="N4" s="5">
        <f t="shared" si="0"/>
        <v>8.4948665353067991E-3</v>
      </c>
      <c r="O4" s="5">
        <f t="shared" si="0"/>
        <v>7.2382294738708832E-3</v>
      </c>
      <c r="P4" s="5">
        <f t="shared" si="0"/>
        <v>6.0821233773498389E-3</v>
      </c>
      <c r="Q4" s="5">
        <f t="shared" si="0"/>
        <v>5.0265482457436689E-3</v>
      </c>
    </row>
    <row r="5" spans="2:18" x14ac:dyDescent="0.25">
      <c r="F5" s="2" t="s">
        <v>1</v>
      </c>
      <c r="G5" s="5">
        <v>44.090141786178279</v>
      </c>
      <c r="H5" s="5">
        <v>48.956889296236241</v>
      </c>
      <c r="I5" s="5">
        <v>54.738502483563281</v>
      </c>
      <c r="J5" s="5">
        <v>61.644520539076971</v>
      </c>
      <c r="K5" s="5">
        <v>70.004691460675488</v>
      </c>
      <c r="L5" s="5">
        <v>80.293895945171286</v>
      </c>
      <c r="M5" s="5">
        <v>93.23062024369969</v>
      </c>
      <c r="N5" s="5">
        <v>109.9820228094531</v>
      </c>
      <c r="O5" s="5">
        <v>132.66874926734883</v>
      </c>
      <c r="P5" s="5">
        <v>166.01878126726035</v>
      </c>
      <c r="Q5" s="5">
        <v>422.98841122426518</v>
      </c>
    </row>
    <row r="6" spans="2:18" x14ac:dyDescent="0.25">
      <c r="B6" s="3" t="s">
        <v>6</v>
      </c>
      <c r="C6" s="3">
        <v>1.4</v>
      </c>
      <c r="F6" s="2" t="s">
        <v>2</v>
      </c>
      <c r="G6" s="5">
        <v>348958.88333425671</v>
      </c>
      <c r="H6" s="5">
        <v>347951.92304292123</v>
      </c>
      <c r="I6" s="5">
        <v>346618.17886122118</v>
      </c>
      <c r="J6" s="5">
        <v>344830.87245662475</v>
      </c>
      <c r="K6" s="5">
        <v>342386.625399818</v>
      </c>
      <c r="L6" s="5">
        <v>338961.66398788325</v>
      </c>
      <c r="M6" s="5">
        <v>334015.36186438688</v>
      </c>
      <c r="N6" s="5">
        <v>326583.70701365703</v>
      </c>
      <c r="O6" s="5">
        <v>314767.53433936858</v>
      </c>
      <c r="P6" s="5">
        <v>294092.14482797863</v>
      </c>
      <c r="Q6" s="5">
        <v>101325</v>
      </c>
    </row>
    <row r="7" spans="2:18" x14ac:dyDescent="0.25">
      <c r="B7" s="3" t="s">
        <v>7</v>
      </c>
      <c r="C7" s="3">
        <v>286.97199999999998</v>
      </c>
      <c r="F7" s="2" t="s">
        <v>13</v>
      </c>
      <c r="G7" s="5">
        <v>4.234108288233065</v>
      </c>
      <c r="H7" s="5">
        <v>4.2252067890034253</v>
      </c>
      <c r="I7" s="5">
        <v>4.2133930278670499</v>
      </c>
      <c r="J7" s="5">
        <v>4.1975256384831594</v>
      </c>
      <c r="K7" s="5">
        <v>4.1757646054641278</v>
      </c>
      <c r="L7" s="5">
        <v>4.1451622423010646</v>
      </c>
      <c r="M7" s="5">
        <v>4.1007560170329675</v>
      </c>
      <c r="N7" s="5">
        <v>4.0335986207593475</v>
      </c>
      <c r="O7" s="5">
        <v>3.9257896946024378</v>
      </c>
      <c r="P7" s="5">
        <v>3.7342008289467419</v>
      </c>
      <c r="Q7" s="5">
        <v>1.7734650103010403</v>
      </c>
    </row>
    <row r="8" spans="2:18" x14ac:dyDescent="0.25">
      <c r="B8" s="3" t="s">
        <v>3</v>
      </c>
      <c r="C8" s="3">
        <v>1004.4</v>
      </c>
    </row>
    <row r="10" spans="2:18" x14ac:dyDescent="0.25">
      <c r="B10" s="4" t="s">
        <v>8</v>
      </c>
      <c r="C10" s="4">
        <v>353000</v>
      </c>
      <c r="F10" s="6" t="s">
        <v>14</v>
      </c>
      <c r="G10" s="6">
        <f>G4*G7*G13</f>
        <v>3.7535209248847416</v>
      </c>
      <c r="H10" s="6">
        <f>H4*H7*H13</f>
        <v>3.7535689349721406</v>
      </c>
      <c r="I10" s="6">
        <f t="shared" ref="I10:Q10" si="1">I4*I7*I13</f>
        <v>3.756167568935914</v>
      </c>
      <c r="J10" s="6">
        <f t="shared" si="1"/>
        <v>3.7588951380849207</v>
      </c>
      <c r="K10" s="6">
        <f t="shared" si="1"/>
        <v>3.7616376937964686</v>
      </c>
      <c r="L10" s="6">
        <f t="shared" si="1"/>
        <v>3.7642601501144988</v>
      </c>
      <c r="M10" s="6">
        <f t="shared" si="1"/>
        <v>3.7666110576583836</v>
      </c>
      <c r="N10" s="6">
        <f t="shared" si="1"/>
        <v>3.7685342260356238</v>
      </c>
      <c r="O10" s="6">
        <f t="shared" si="1"/>
        <v>3.7698911481307986</v>
      </c>
      <c r="P10" s="6">
        <f t="shared" si="1"/>
        <v>3.770599229932484</v>
      </c>
      <c r="Q10" s="6">
        <f t="shared" si="1"/>
        <v>3.7706913610236072</v>
      </c>
    </row>
    <row r="11" spans="2:18" x14ac:dyDescent="0.25">
      <c r="B11" s="4" t="s">
        <v>9</v>
      </c>
      <c r="C11" s="4">
        <v>288.16000000000003</v>
      </c>
      <c r="F11" s="6" t="s">
        <v>15</v>
      </c>
      <c r="G11" s="6">
        <v>0</v>
      </c>
      <c r="H11" s="6">
        <f>H13*(H10-I10)</f>
        <v>-0.12722266252952388</v>
      </c>
      <c r="I11" s="6">
        <f t="shared" ref="I11:P11" si="2">I13*(I10-J10)</f>
        <v>-0.14930484135887631</v>
      </c>
      <c r="J11" s="6">
        <f t="shared" si="2"/>
        <v>-0.16906535207611093</v>
      </c>
      <c r="K11" s="6">
        <f t="shared" si="2"/>
        <v>-0.18358593138337659</v>
      </c>
      <c r="L11" s="6">
        <f t="shared" si="2"/>
        <v>-0.18876491319638058</v>
      </c>
      <c r="M11" s="6">
        <f t="shared" si="2"/>
        <v>-0.1792991491969862</v>
      </c>
      <c r="N11" s="6">
        <f t="shared" si="2"/>
        <v>-0.14923755951158585</v>
      </c>
      <c r="O11" s="6">
        <f t="shared" si="2"/>
        <v>-9.394049953999066E-2</v>
      </c>
      <c r="P11" s="6">
        <f t="shared" si="2"/>
        <v>-1.5295500495286142E-2</v>
      </c>
      <c r="Q11" s="6">
        <v>0</v>
      </c>
    </row>
    <row r="12" spans="2:18" x14ac:dyDescent="0.25">
      <c r="B12" s="4" t="s">
        <v>2</v>
      </c>
      <c r="C12" s="4">
        <v>101325</v>
      </c>
    </row>
    <row r="13" spans="2:18" x14ac:dyDescent="0.25">
      <c r="F13" s="2" t="s">
        <v>1</v>
      </c>
      <c r="G13" s="2">
        <f>(H5*H4*H7)/(G4*G7)</f>
        <v>44.090704031359245</v>
      </c>
      <c r="H13" s="2">
        <f>((G6-H6)/H7+G5*H5)^0.5</f>
        <v>48.957515488172007</v>
      </c>
      <c r="I13" s="2">
        <f t="shared" ref="I13:Q13" si="3">((H6-I6)/I7+H5*I5)^0.5</f>
        <v>54.739159010229571</v>
      </c>
      <c r="J13" s="2">
        <f t="shared" si="3"/>
        <v>61.645184221504707</v>
      </c>
      <c r="K13" s="2">
        <f t="shared" si="3"/>
        <v>70.0053343581625</v>
      </c>
      <c r="L13" s="2">
        <f t="shared" si="3"/>
        <v>80.294486138937586</v>
      </c>
      <c r="M13" s="2">
        <f t="shared" si="3"/>
        <v>93.231123867728598</v>
      </c>
      <c r="N13" s="2">
        <f t="shared" si="3"/>
        <v>109.98240801168578</v>
      </c>
      <c r="O13" s="2">
        <f t="shared" si="3"/>
        <v>132.66899292764782</v>
      </c>
      <c r="P13" s="2">
        <f t="shared" si="3"/>
        <v>166.01887928170575</v>
      </c>
      <c r="Q13" s="2">
        <f t="shared" si="3"/>
        <v>422.98844740031296</v>
      </c>
    </row>
    <row r="14" spans="2:18" x14ac:dyDescent="0.25">
      <c r="B14" s="2" t="s">
        <v>10</v>
      </c>
      <c r="C14" s="2">
        <v>100</v>
      </c>
      <c r="D14" s="1">
        <v>100</v>
      </c>
      <c r="F14" s="2" t="s">
        <v>2</v>
      </c>
      <c r="G14" s="2">
        <f>C10*G22</f>
        <v>348958.78164815094</v>
      </c>
      <c r="H14" s="2">
        <f>H6+H11</f>
        <v>347951.79582025873</v>
      </c>
      <c r="I14" s="2">
        <f t="shared" ref="I14:Q14" si="4">I6+I11</f>
        <v>346618.02955637983</v>
      </c>
      <c r="J14" s="2">
        <f t="shared" si="4"/>
        <v>344830.70339127269</v>
      </c>
      <c r="K14" s="2">
        <f t="shared" si="4"/>
        <v>342386.44181388663</v>
      </c>
      <c r="L14" s="2">
        <f t="shared" si="4"/>
        <v>338961.47522297007</v>
      </c>
      <c r="M14" s="2">
        <f t="shared" si="4"/>
        <v>334015.18256523769</v>
      </c>
      <c r="N14" s="2">
        <f t="shared" si="4"/>
        <v>326583.5577760975</v>
      </c>
      <c r="O14" s="2">
        <f t="shared" si="4"/>
        <v>314767.44039886905</v>
      </c>
      <c r="P14" s="2">
        <f t="shared" si="4"/>
        <v>294092.12953247811</v>
      </c>
      <c r="Q14" s="2">
        <f t="shared" si="4"/>
        <v>101325</v>
      </c>
    </row>
    <row r="15" spans="2:18" x14ac:dyDescent="0.25">
      <c r="F15" s="2" t="s">
        <v>13</v>
      </c>
      <c r="G15" s="2">
        <f>G14/($C$7*G17)</f>
        <v>4.2341074182952854</v>
      </c>
      <c r="H15" s="2">
        <f t="shared" ref="H15:Q15" si="5">H14/($C$7*H17)</f>
        <v>4.2252056935293263</v>
      </c>
      <c r="I15" s="2">
        <f t="shared" si="5"/>
        <v>4.2133917388473252</v>
      </c>
      <c r="J15" s="2">
        <f t="shared" si="5"/>
        <v>4.1975241777694947</v>
      </c>
      <c r="K15" s="2">
        <f t="shared" si="5"/>
        <v>4.1757630213163308</v>
      </c>
      <c r="L15" s="2">
        <f t="shared" si="5"/>
        <v>4.1451606202421338</v>
      </c>
      <c r="M15" s="2">
        <f t="shared" si="5"/>
        <v>4.1007544911495604</v>
      </c>
      <c r="N15" s="2">
        <f t="shared" si="5"/>
        <v>4.0335973805673104</v>
      </c>
      <c r="O15" s="2">
        <f t="shared" si="5"/>
        <v>3.9257889751947874</v>
      </c>
      <c r="P15" s="2">
        <f t="shared" si="5"/>
        <v>3.734200855174802</v>
      </c>
      <c r="Q15" s="2">
        <f t="shared" si="5"/>
        <v>1.7734651460108046</v>
      </c>
      <c r="R15" s="2"/>
    </row>
    <row r="17" spans="6:18" x14ac:dyDescent="0.25">
      <c r="F17" s="2" t="s">
        <v>16</v>
      </c>
      <c r="G17" s="2">
        <f>$C$11-(G13^2)/(2*$C$8)</f>
        <v>287.19226295202066</v>
      </c>
      <c r="H17" s="2">
        <f t="shared" ref="H17:Q17" si="6">$C$11-(H13^2)/(2*$C$8)</f>
        <v>286.96683078316681</v>
      </c>
      <c r="I17" s="2">
        <f t="shared" si="6"/>
        <v>286.66837538373795</v>
      </c>
      <c r="J17" s="2">
        <f t="shared" si="6"/>
        <v>286.2682592902712</v>
      </c>
      <c r="K17" s="2">
        <f t="shared" si="6"/>
        <v>285.72036099233469</v>
      </c>
      <c r="L17" s="2">
        <f t="shared" si="6"/>
        <v>284.95051946220826</v>
      </c>
      <c r="M17" s="2">
        <f t="shared" si="6"/>
        <v>283.83301749420565</v>
      </c>
      <c r="N17" s="2">
        <f t="shared" si="6"/>
        <v>282.13842987253639</v>
      </c>
      <c r="O17" s="2">
        <f t="shared" si="6"/>
        <v>279.39802186159091</v>
      </c>
      <c r="P17" s="2">
        <f t="shared" si="6"/>
        <v>274.43923721726725</v>
      </c>
      <c r="Q17" s="2">
        <f t="shared" si="6"/>
        <v>199.09228463056189</v>
      </c>
    </row>
    <row r="18" spans="6:18" x14ac:dyDescent="0.25">
      <c r="F18" s="2" t="s">
        <v>17</v>
      </c>
      <c r="G18" s="2">
        <f>SQRT($C$7*$C$6*G17)</f>
        <v>339.6801338280091</v>
      </c>
      <c r="H18" s="2">
        <f t="shared" ref="H18:Q18" si="7">SQRT($C$7*$C$6*H17)</f>
        <v>339.54679133944074</v>
      </c>
      <c r="I18" s="2">
        <f t="shared" si="7"/>
        <v>339.37017522002554</v>
      </c>
      <c r="J18" s="2">
        <f t="shared" si="7"/>
        <v>339.13325532460948</v>
      </c>
      <c r="K18" s="2">
        <f t="shared" si="7"/>
        <v>338.80856070732506</v>
      </c>
      <c r="L18" s="2">
        <f t="shared" si="7"/>
        <v>338.35181196434036</v>
      </c>
      <c r="M18" s="2">
        <f t="shared" si="7"/>
        <v>337.68769621484</v>
      </c>
      <c r="N18" s="2">
        <f t="shared" si="7"/>
        <v>336.67812714272679</v>
      </c>
      <c r="O18" s="2">
        <f t="shared" si="7"/>
        <v>335.0390615757068</v>
      </c>
      <c r="P18" s="2">
        <f t="shared" si="7"/>
        <v>332.05259748389119</v>
      </c>
      <c r="Q18" s="2">
        <f t="shared" si="7"/>
        <v>282.82057129388988</v>
      </c>
    </row>
    <row r="19" spans="6:18" x14ac:dyDescent="0.25">
      <c r="F19" s="2" t="s">
        <v>18</v>
      </c>
      <c r="G19" s="2">
        <f>G13/G18</f>
        <v>0.12980065550045908</v>
      </c>
      <c r="H19" s="2">
        <f t="shared" ref="H19:Q19" si="8">H13/H18</f>
        <v>0.14418488625689818</v>
      </c>
      <c r="I19" s="2">
        <f t="shared" si="8"/>
        <v>0.1612963159615905</v>
      </c>
      <c r="J19" s="2">
        <f t="shared" si="8"/>
        <v>0.18177274936514129</v>
      </c>
      <c r="K19" s="2">
        <f t="shared" si="8"/>
        <v>0.20662209423520325</v>
      </c>
      <c r="L19" s="2">
        <f t="shared" si="8"/>
        <v>0.23731064324076975</v>
      </c>
      <c r="M19" s="2">
        <f t="shared" si="8"/>
        <v>0.27608682493546965</v>
      </c>
      <c r="N19" s="2">
        <f t="shared" si="8"/>
        <v>0.3266692996811798</v>
      </c>
      <c r="O19" s="2">
        <f t="shared" si="8"/>
        <v>0.39598067253322161</v>
      </c>
      <c r="P19" s="2">
        <f t="shared" si="8"/>
        <v>0.49997765576810399</v>
      </c>
      <c r="Q19" s="2">
        <f t="shared" si="8"/>
        <v>1.495607075062334</v>
      </c>
    </row>
    <row r="20" spans="6:18" x14ac:dyDescent="0.25">
      <c r="F20" s="2" t="s">
        <v>24</v>
      </c>
      <c r="G20" s="2">
        <f>1-((($C$6-1)/($C$6+1))*G21^2)</f>
        <v>0.99671562087889654</v>
      </c>
      <c r="H20" s="2">
        <f t="shared" ref="H20:Q20" si="9">1-((($C$6-1)/($C$6+1))*H21^2)</f>
        <v>0.99595868307912983</v>
      </c>
      <c r="I20" s="2">
        <f t="shared" si="9"/>
        <v>0.99495930867942539</v>
      </c>
      <c r="J20" s="2">
        <f t="shared" si="9"/>
        <v>0.9936235466104123</v>
      </c>
      <c r="K20" s="2">
        <f t="shared" si="9"/>
        <v>0.99180030948022702</v>
      </c>
      <c r="L20" s="2">
        <f t="shared" si="9"/>
        <v>0.98924708782206205</v>
      </c>
      <c r="M20" s="2">
        <f t="shared" si="9"/>
        <v>0.98555294152046469</v>
      </c>
      <c r="N20" s="2">
        <f t="shared" si="9"/>
        <v>0.9799663119014016</v>
      </c>
      <c r="O20" s="2">
        <f t="shared" si="9"/>
        <v>0.97094120558696329</v>
      </c>
      <c r="P20" s="2">
        <f t="shared" si="9"/>
        <v>0.95454933239497719</v>
      </c>
      <c r="Q20" s="2">
        <f t="shared" si="9"/>
        <v>0.65563795698725458</v>
      </c>
    </row>
    <row r="21" spans="6:18" x14ac:dyDescent="0.25">
      <c r="F21" s="2" t="s">
        <v>22</v>
      </c>
      <c r="G21" s="2">
        <f t="shared" ref="G21:P21" si="10">SQRT(G19^2*(1/(1+(($C$6-1)/2*G19)))*($C$6+1)/2)</f>
        <v>0.14037903948460795</v>
      </c>
      <c r="H21" s="2">
        <f t="shared" si="10"/>
        <v>0.15571737708175379</v>
      </c>
      <c r="I21" s="2">
        <f t="shared" si="10"/>
        <v>0.17390844695829924</v>
      </c>
      <c r="J21" s="2">
        <f t="shared" si="10"/>
        <v>0.19559836486414228</v>
      </c>
      <c r="K21" s="2">
        <f t="shared" si="10"/>
        <v>0.22180654435484581</v>
      </c>
      <c r="L21" s="2">
        <f t="shared" si="10"/>
        <v>0.25400289972287304</v>
      </c>
      <c r="M21" s="2">
        <f t="shared" si="10"/>
        <v>0.29441866597960809</v>
      </c>
      <c r="N21" s="2">
        <f t="shared" si="10"/>
        <v>0.34670178625382159</v>
      </c>
      <c r="O21" s="2">
        <f t="shared" si="10"/>
        <v>0.41755570464097397</v>
      </c>
      <c r="P21" s="2">
        <f t="shared" si="10"/>
        <v>0.52221069084243843</v>
      </c>
      <c r="Q21" s="2">
        <f>SQRT(Q19^2*(1/(1+(($C$6-1)/2*Q19)))*($C$6+1)/2)</f>
        <v>1.4374186092006995</v>
      </c>
    </row>
    <row r="22" spans="6:18" x14ac:dyDescent="0.25">
      <c r="F22" s="2" t="s">
        <v>23</v>
      </c>
      <c r="G22" s="2">
        <f>(1-((($C$6-1)/($C$6+1))*G21^2))^($C$6/($C$6-1))</f>
        <v>0.98855178937153232</v>
      </c>
      <c r="H22" s="2">
        <f t="shared" ref="H22:Q22" si="11">(1-((($C$6-1)/($C$6+1))*H21^2))^($C$6/($C$6-1))</f>
        <v>0.98592670002741944</v>
      </c>
      <c r="I22" s="2">
        <f t="shared" si="11"/>
        <v>0.98246846287603862</v>
      </c>
      <c r="J22" s="2">
        <f t="shared" si="11"/>
        <v>0.9778597302703449</v>
      </c>
      <c r="K22" s="2">
        <f t="shared" si="11"/>
        <v>0.97159403123216359</v>
      </c>
      <c r="L22" s="2">
        <f t="shared" si="11"/>
        <v>0.96286795120458468</v>
      </c>
      <c r="M22" s="2">
        <f t="shared" si="11"/>
        <v>0.95034185022083806</v>
      </c>
      <c r="N22" s="2">
        <f t="shared" si="11"/>
        <v>0.93162044759119977</v>
      </c>
      <c r="O22" s="2">
        <f t="shared" si="11"/>
        <v>0.90193504821526371</v>
      </c>
      <c r="P22" s="2">
        <f t="shared" si="11"/>
        <v>0.84975616447976543</v>
      </c>
      <c r="Q22" s="2">
        <f>(1-((($C$6-1)/($C$6+1))*Q21^2))^($C$6/($C$6-1))</f>
        <v>0.22820455520686561</v>
      </c>
    </row>
    <row r="23" spans="6:18" x14ac:dyDescent="0.25">
      <c r="F23" s="2" t="s">
        <v>8</v>
      </c>
      <c r="G23" s="2">
        <f>G14/G22</f>
        <v>353000</v>
      </c>
      <c r="H23" s="2">
        <f>H14/H22</f>
        <v>352918.524075453</v>
      </c>
      <c r="I23" s="2">
        <f>I14/I22</f>
        <v>352803.21216795518</v>
      </c>
      <c r="J23" s="2">
        <f>J14/J22</f>
        <v>352638.20844318718</v>
      </c>
      <c r="K23" s="2">
        <f>K14/K22</f>
        <v>352396.60887961235</v>
      </c>
      <c r="L23" s="2">
        <f>L14/L22</f>
        <v>352033.18876582844</v>
      </c>
      <c r="M23" s="2">
        <f>M14/M22</f>
        <v>351468.45578527357</v>
      </c>
      <c r="N23" s="2">
        <f>N14/N22</f>
        <v>350554.30419170466</v>
      </c>
      <c r="O23" s="2">
        <f>O14/O22</f>
        <v>348991.25055814872</v>
      </c>
      <c r="P23" s="2">
        <f>P14/P22</f>
        <v>346090.02185059298</v>
      </c>
      <c r="Q23" s="2">
        <f>Q14/Q22</f>
        <v>444009.54182597139</v>
      </c>
    </row>
    <row r="26" spans="6:18" x14ac:dyDescent="0.25">
      <c r="R26" s="1" t="s">
        <v>25</v>
      </c>
    </row>
    <row r="27" spans="6:18" x14ac:dyDescent="0.25">
      <c r="R27" s="1" t="s">
        <v>26</v>
      </c>
    </row>
    <row r="28" spans="6:18" x14ac:dyDescent="0.25">
      <c r="R28" s="1" t="s">
        <v>27</v>
      </c>
    </row>
    <row r="29" spans="6:18" x14ac:dyDescent="0.25">
      <c r="R29" s="1" t="s">
        <v>30</v>
      </c>
    </row>
    <row r="30" spans="6:18" x14ac:dyDescent="0.25">
      <c r="R30" s="1" t="s">
        <v>28</v>
      </c>
    </row>
    <row r="31" spans="6:18" x14ac:dyDescent="0.25">
      <c r="R31" s="1" t="s">
        <v>31</v>
      </c>
    </row>
    <row r="32" spans="6:18" x14ac:dyDescent="0.25">
      <c r="R32" s="1" t="s">
        <v>29</v>
      </c>
    </row>
    <row r="34" spans="18:24" x14ac:dyDescent="0.25">
      <c r="R34" s="2" t="s">
        <v>19</v>
      </c>
      <c r="S34" s="11" t="s">
        <v>20</v>
      </c>
      <c r="T34" s="12"/>
      <c r="U34" s="12"/>
      <c r="V34" s="12"/>
      <c r="W34" s="12"/>
      <c r="X34" s="12"/>
    </row>
    <row r="35" spans="18:24" x14ac:dyDescent="0.25">
      <c r="R35" s="2" t="s">
        <v>0</v>
      </c>
      <c r="S35" s="8">
        <v>0</v>
      </c>
      <c r="T35" s="8">
        <v>2.5000000000000001E-2</v>
      </c>
      <c r="U35" s="8">
        <v>0.05</v>
      </c>
      <c r="V35" s="8">
        <v>7.4999999999999997E-2</v>
      </c>
      <c r="W35" s="5">
        <v>8.5000000000000006E-2</v>
      </c>
      <c r="X35" s="8">
        <v>0.1</v>
      </c>
    </row>
    <row r="36" spans="18:24" x14ac:dyDescent="0.25">
      <c r="R36" s="2" t="s">
        <v>2</v>
      </c>
      <c r="S36" s="7">
        <v>345199</v>
      </c>
      <c r="T36" s="7">
        <v>340985.59999999998</v>
      </c>
      <c r="U36" s="7">
        <v>330458.09999999998</v>
      </c>
      <c r="V36" s="7">
        <v>303106.3</v>
      </c>
      <c r="W36" s="2">
        <v>274886.5</v>
      </c>
      <c r="X36" s="2">
        <v>169044.1</v>
      </c>
    </row>
    <row r="37" spans="18:24" x14ac:dyDescent="0.25">
      <c r="R37" s="2" t="s">
        <v>1</v>
      </c>
      <c r="S37" s="7">
        <v>59.260750000000002</v>
      </c>
      <c r="T37" s="7">
        <v>75.040980000000005</v>
      </c>
      <c r="U37" s="7">
        <v>103.6818</v>
      </c>
      <c r="V37" s="7">
        <v>156.67660000000001</v>
      </c>
      <c r="W37" s="2">
        <v>199.47919999999999</v>
      </c>
      <c r="X37" s="7">
        <v>333.14179999999999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terat">
                <anchor moveWithCells="1" sizeWithCells="1">
                  <from>
                    <xdr:col>1</xdr:col>
                    <xdr:colOff>419100</xdr:colOff>
                    <xdr:row>15</xdr:row>
                    <xdr:rowOff>180975</xdr:rowOff>
                  </from>
                  <to>
                    <xdr:col>4</xdr:col>
                    <xdr:colOff>28575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X26"/>
  <sheetViews>
    <sheetView topLeftCell="A5" zoomScale="70" zoomScaleNormal="70" workbookViewId="0">
      <selection activeCell="U34" sqref="U34"/>
    </sheetView>
  </sheetViews>
  <sheetFormatPr defaultRowHeight="15" x14ac:dyDescent="0.25"/>
  <cols>
    <col min="1" max="2" width="9.140625" style="1"/>
    <col min="3" max="3" width="10.140625" style="1" bestFit="1" customWidth="1"/>
    <col min="4" max="6" width="9.140625" style="1"/>
    <col min="7" max="8" width="11.140625" style="1" bestFit="1" customWidth="1"/>
    <col min="9" max="9" width="12.140625" style="1" customWidth="1"/>
    <col min="10" max="10" width="13" style="1" customWidth="1"/>
    <col min="11" max="11" width="14" style="1" customWidth="1"/>
    <col min="12" max="12" width="12.7109375" style="1" customWidth="1"/>
    <col min="13" max="13" width="12.140625" style="1" customWidth="1"/>
    <col min="14" max="14" width="12.7109375" style="1" customWidth="1"/>
    <col min="15" max="15" width="13.5703125" style="1" customWidth="1"/>
    <col min="16" max="16" width="14" style="1" customWidth="1"/>
    <col min="17" max="17" width="15.42578125" style="1" customWidth="1"/>
    <col min="18" max="22" width="9.140625" style="1"/>
    <col min="23" max="23" width="11.140625" style="1" customWidth="1"/>
    <col min="24" max="24" width="12.85546875" style="1" customWidth="1"/>
    <col min="25" max="16384" width="9.140625" style="1"/>
  </cols>
  <sheetData>
    <row r="1" spans="2:18" x14ac:dyDescent="0.25">
      <c r="F1" s="2" t="s">
        <v>11</v>
      </c>
      <c r="G1" s="5">
        <v>1</v>
      </c>
      <c r="H1" s="5">
        <v>2</v>
      </c>
      <c r="I1" s="5">
        <v>3</v>
      </c>
      <c r="J1" s="5">
        <v>4</v>
      </c>
      <c r="K1" s="5">
        <v>5</v>
      </c>
      <c r="L1" s="5">
        <v>6</v>
      </c>
      <c r="M1" s="5">
        <v>7</v>
      </c>
      <c r="N1" s="5">
        <v>8</v>
      </c>
      <c r="O1" s="5">
        <v>9</v>
      </c>
      <c r="P1" s="5">
        <v>10</v>
      </c>
      <c r="Q1" s="5">
        <v>11</v>
      </c>
    </row>
    <row r="2" spans="2:18" x14ac:dyDescent="0.25">
      <c r="F2" s="2" t="s">
        <v>0</v>
      </c>
      <c r="G2" s="5">
        <v>0</v>
      </c>
      <c r="H2" s="5">
        <v>0.01</v>
      </c>
      <c r="I2" s="5">
        <v>0.02</v>
      </c>
      <c r="J2" s="5">
        <v>0.03</v>
      </c>
      <c r="K2" s="5">
        <v>0.04</v>
      </c>
      <c r="L2" s="5">
        <v>0.05</v>
      </c>
      <c r="M2" s="5">
        <v>0.06</v>
      </c>
      <c r="N2" s="5">
        <v>7.0000000000000007E-2</v>
      </c>
      <c r="O2" s="5">
        <v>0.08</v>
      </c>
      <c r="P2" s="5">
        <v>0.09</v>
      </c>
      <c r="Q2" s="5">
        <v>0.1</v>
      </c>
    </row>
    <row r="3" spans="2:18" x14ac:dyDescent="0.25">
      <c r="B3" s="2" t="s">
        <v>4</v>
      </c>
      <c r="C3" s="2">
        <v>0.1</v>
      </c>
      <c r="F3" s="2" t="s">
        <v>7</v>
      </c>
      <c r="G3" s="5">
        <v>0.08</v>
      </c>
      <c r="H3" s="5">
        <v>7.5999999999999998E-2</v>
      </c>
      <c r="I3" s="5">
        <v>7.1999999999999995E-2</v>
      </c>
      <c r="J3" s="5">
        <v>6.8000000000000005E-2</v>
      </c>
      <c r="K3" s="5">
        <v>6.4000000000000001E-2</v>
      </c>
      <c r="L3" s="5">
        <v>0.06</v>
      </c>
      <c r="M3" s="5">
        <v>5.6000000000000001E-2</v>
      </c>
      <c r="N3" s="5">
        <v>5.1999999999999998E-2</v>
      </c>
      <c r="O3" s="5">
        <v>4.8000000000000001E-2</v>
      </c>
      <c r="P3" s="5">
        <v>4.3999999999999997E-2</v>
      </c>
      <c r="Q3" s="5">
        <v>0.04</v>
      </c>
    </row>
    <row r="4" spans="2:18" x14ac:dyDescent="0.25">
      <c r="B4" s="2" t="s">
        <v>5</v>
      </c>
      <c r="C4" s="2">
        <v>0.01</v>
      </c>
      <c r="F4" s="2" t="s">
        <v>12</v>
      </c>
      <c r="G4" s="5">
        <f>(PI()*(2*G3)^2)/4</f>
        <v>2.0106192982974676E-2</v>
      </c>
      <c r="H4" s="5">
        <f t="shared" ref="H4:Q4" si="0">(PI()*(2*H3)^2)/4</f>
        <v>1.8145839167134643E-2</v>
      </c>
      <c r="I4" s="5">
        <f t="shared" si="0"/>
        <v>1.6286016316209486E-2</v>
      </c>
      <c r="J4" s="5">
        <f t="shared" si="0"/>
        <v>1.4526724430199206E-2</v>
      </c>
      <c r="K4" s="5">
        <f t="shared" si="0"/>
        <v>1.2867963509103792E-2</v>
      </c>
      <c r="L4" s="5">
        <f t="shared" si="0"/>
        <v>1.1309733552923255E-2</v>
      </c>
      <c r="M4" s="5">
        <f t="shared" si="0"/>
        <v>9.8520345616575928E-3</v>
      </c>
      <c r="N4" s="5">
        <f t="shared" si="0"/>
        <v>8.4948665353067991E-3</v>
      </c>
      <c r="O4" s="5">
        <f t="shared" si="0"/>
        <v>7.2382294738708832E-3</v>
      </c>
      <c r="P4" s="5">
        <f t="shared" si="0"/>
        <v>6.0821233773498389E-3</v>
      </c>
      <c r="Q4" s="5">
        <f t="shared" si="0"/>
        <v>5.0265482457436689E-3</v>
      </c>
    </row>
    <row r="5" spans="2:18" x14ac:dyDescent="0.25">
      <c r="F5" s="2" t="s">
        <v>1</v>
      </c>
      <c r="G5" s="5">
        <v>106.05409556085426</v>
      </c>
      <c r="H5" s="5">
        <v>117.51174047952685</v>
      </c>
      <c r="I5" s="5">
        <v>130.94865639089593</v>
      </c>
      <c r="J5" s="5">
        <v>146.83587911302203</v>
      </c>
      <c r="K5" s="5">
        <v>165.80203338835815</v>
      </c>
      <c r="L5" s="5">
        <v>188.69101971302558</v>
      </c>
      <c r="M5" s="5">
        <v>216.65760597247564</v>
      </c>
      <c r="N5" s="5">
        <v>251.31678027015712</v>
      </c>
      <c r="O5" s="5">
        <v>294.98430798496048</v>
      </c>
      <c r="P5" s="5">
        <v>351.07770583997655</v>
      </c>
      <c r="Q5" s="5">
        <v>424.81136970866402</v>
      </c>
    </row>
    <row r="6" spans="2:18" x14ac:dyDescent="0.25">
      <c r="B6" s="3" t="s">
        <v>6</v>
      </c>
      <c r="C6" s="3">
        <v>1.4</v>
      </c>
      <c r="F6" s="2" t="s">
        <v>2</v>
      </c>
      <c r="G6" s="5">
        <v>209835.87332275073</v>
      </c>
      <c r="H6" s="5">
        <v>208240.30247873181</v>
      </c>
      <c r="I6" s="5">
        <v>206155.11781142247</v>
      </c>
      <c r="J6" s="5">
        <v>203390.57048418865</v>
      </c>
      <c r="K6" s="5">
        <v>199663.99569318426</v>
      </c>
      <c r="L6" s="5">
        <v>194545.83931065944</v>
      </c>
      <c r="M6" s="5">
        <v>187365.52153852402</v>
      </c>
      <c r="N6" s="5">
        <v>177043.49407887951</v>
      </c>
      <c r="O6" s="5">
        <v>161779.11425652026</v>
      </c>
      <c r="P6" s="5">
        <v>138442.67637483348</v>
      </c>
      <c r="Q6" s="5">
        <v>101325</v>
      </c>
    </row>
    <row r="7" spans="2:18" x14ac:dyDescent="0.25">
      <c r="B7" s="3" t="s">
        <v>7</v>
      </c>
      <c r="C7" s="3">
        <v>286.97199999999998</v>
      </c>
      <c r="F7" s="2" t="s">
        <v>13</v>
      </c>
      <c r="G7" s="5">
        <v>1.1850000000000001</v>
      </c>
      <c r="H7" s="5">
        <v>1.1850000000000001</v>
      </c>
      <c r="I7" s="5">
        <v>1.1850000000000001</v>
      </c>
      <c r="J7" s="5">
        <v>1.1850000000000001</v>
      </c>
      <c r="K7" s="5">
        <v>1.1850000000000001</v>
      </c>
      <c r="L7" s="5">
        <v>1.1850000000000001</v>
      </c>
      <c r="M7" s="5">
        <v>1.1850000000000001</v>
      </c>
      <c r="N7" s="5">
        <v>1.1850000000000001</v>
      </c>
      <c r="O7" s="5">
        <v>1.1850000000000001</v>
      </c>
      <c r="P7" s="5">
        <v>1.1850000000000001</v>
      </c>
      <c r="Q7" s="5">
        <v>1.1850000000000001</v>
      </c>
    </row>
    <row r="8" spans="2:18" x14ac:dyDescent="0.25">
      <c r="B8" s="3" t="s">
        <v>3</v>
      </c>
      <c r="C8" s="3">
        <v>1004.4</v>
      </c>
    </row>
    <row r="10" spans="2:18" x14ac:dyDescent="0.25">
      <c r="B10" s="4" t="s">
        <v>8</v>
      </c>
      <c r="C10" s="4">
        <v>216500</v>
      </c>
      <c r="F10" s="6" t="s">
        <v>14</v>
      </c>
      <c r="G10" s="6">
        <f>G4*G7*G13</f>
        <v>2.5268337344449985</v>
      </c>
      <c r="H10" s="6">
        <f>H4*H7*H13</f>
        <v>2.5268397262542721</v>
      </c>
      <c r="I10" s="6">
        <f t="shared" ref="I10:Q10" si="1">I4*I7*I13</f>
        <v>2.527176487327913</v>
      </c>
      <c r="J10" s="6">
        <f t="shared" si="1"/>
        <v>2.5276655889791972</v>
      </c>
      <c r="K10" s="6">
        <f t="shared" si="1"/>
        <v>2.5282458459497663</v>
      </c>
      <c r="L10" s="6">
        <f t="shared" si="1"/>
        <v>2.5288496595446488</v>
      </c>
      <c r="M10" s="6">
        <f t="shared" si="1"/>
        <v>2.5294085728132587</v>
      </c>
      <c r="N10" s="6">
        <f t="shared" si="1"/>
        <v>2.5298622660844359</v>
      </c>
      <c r="O10" s="6">
        <f t="shared" si="1"/>
        <v>2.5301708941636694</v>
      </c>
      <c r="P10" s="6">
        <f t="shared" si="1"/>
        <v>2.5303286030220002</v>
      </c>
      <c r="Q10" s="6">
        <f t="shared" si="1"/>
        <v>2.5303720362691116</v>
      </c>
    </row>
    <row r="11" spans="2:18" x14ac:dyDescent="0.25">
      <c r="B11" s="4" t="s">
        <v>9</v>
      </c>
      <c r="C11" s="4">
        <v>288.16000000000003</v>
      </c>
      <c r="F11" s="6" t="s">
        <v>15</v>
      </c>
      <c r="G11" s="6">
        <v>0</v>
      </c>
      <c r="H11" s="6">
        <f>H13*(H10-I10)</f>
        <v>-3.9573473728530088E-2</v>
      </c>
      <c r="I11" s="6">
        <f t="shared" ref="I11:P11" si="2">I13*(I10-J10)</f>
        <v>-6.4047397220933708E-2</v>
      </c>
      <c r="J11" s="6">
        <f t="shared" si="2"/>
        <v>-8.520281311009148E-2</v>
      </c>
      <c r="K11" s="6">
        <f t="shared" si="2"/>
        <v>-0.10011381663620253</v>
      </c>
      <c r="L11" s="6">
        <f t="shared" si="2"/>
        <v>-0.10546217101049057</v>
      </c>
      <c r="M11" s="6">
        <f t="shared" si="2"/>
        <v>-9.8296272064010315E-2</v>
      </c>
      <c r="N11" s="6">
        <f t="shared" si="2"/>
        <v>-7.7563500894167248E-2</v>
      </c>
      <c r="O11" s="6">
        <f t="shared" si="2"/>
        <v>-4.6521664565175376E-2</v>
      </c>
      <c r="P11" s="6">
        <f t="shared" si="2"/>
        <v>-1.5248448160904621E-2</v>
      </c>
      <c r="Q11" s="6">
        <v>0</v>
      </c>
    </row>
    <row r="12" spans="2:18" x14ac:dyDescent="0.25">
      <c r="B12" s="4" t="s">
        <v>2</v>
      </c>
      <c r="C12" s="4">
        <v>101325</v>
      </c>
    </row>
    <row r="13" spans="2:18" x14ac:dyDescent="0.25">
      <c r="F13" s="2" t="s">
        <v>1</v>
      </c>
      <c r="G13" s="2">
        <f>(H5*H4*H7)/(G4*G7)</f>
        <v>106.05434578277298</v>
      </c>
      <c r="H13" s="2">
        <f>((G6-H6)/H7+G5*H5)^0.5</f>
        <v>117.51201913178907</v>
      </c>
      <c r="I13" s="2">
        <f t="shared" ref="I13:Q13" si="3">((H6-I6)/I7+H5*I5)^0.5</f>
        <v>130.94905129181967</v>
      </c>
      <c r="J13" s="2">
        <f t="shared" si="3"/>
        <v>146.83634567376453</v>
      </c>
      <c r="K13" s="2">
        <f t="shared" si="3"/>
        <v>165.8025216469112</v>
      </c>
      <c r="L13" s="2">
        <f t="shared" si="3"/>
        <v>188.69147850576067</v>
      </c>
      <c r="M13" s="2">
        <f t="shared" si="3"/>
        <v>216.65798967872553</v>
      </c>
      <c r="N13" s="2">
        <f t="shared" si="3"/>
        <v>251.31705801625461</v>
      </c>
      <c r="O13" s="2">
        <f t="shared" si="3"/>
        <v>294.98447365315042</v>
      </c>
      <c r="P13" s="2">
        <f t="shared" si="3"/>
        <v>351.07778430254342</v>
      </c>
      <c r="Q13" s="2">
        <f t="shared" si="3"/>
        <v>424.81141079507785</v>
      </c>
    </row>
    <row r="14" spans="2:18" x14ac:dyDescent="0.25">
      <c r="B14" s="2" t="s">
        <v>10</v>
      </c>
      <c r="C14" s="2">
        <v>2000</v>
      </c>
      <c r="D14" s="1">
        <v>2000</v>
      </c>
      <c r="F14" s="2" t="s">
        <v>2</v>
      </c>
      <c r="G14" s="2">
        <f>C10-(G7*G13^2)/2</f>
        <v>209835.84187629839</v>
      </c>
      <c r="H14" s="2">
        <f>H6+H11</f>
        <v>208240.26290525807</v>
      </c>
      <c r="I14" s="2">
        <f t="shared" ref="I14:Q14" si="4">I6+I11</f>
        <v>206155.05376402524</v>
      </c>
      <c r="J14" s="2">
        <f t="shared" si="4"/>
        <v>203390.48528137553</v>
      </c>
      <c r="K14" s="2">
        <f t="shared" si="4"/>
        <v>199663.89557936761</v>
      </c>
      <c r="L14" s="2">
        <f t="shared" si="4"/>
        <v>194545.73384848842</v>
      </c>
      <c r="M14" s="2">
        <f t="shared" si="4"/>
        <v>187365.42324225194</v>
      </c>
      <c r="N14" s="2">
        <f t="shared" si="4"/>
        <v>177043.4165153786</v>
      </c>
      <c r="O14" s="2">
        <f t="shared" si="4"/>
        <v>161779.06773485569</v>
      </c>
      <c r="P14" s="2">
        <f t="shared" si="4"/>
        <v>138442.66112638533</v>
      </c>
      <c r="Q14" s="2">
        <f t="shared" si="4"/>
        <v>101325</v>
      </c>
    </row>
    <row r="15" spans="2:18" x14ac:dyDescent="0.25">
      <c r="F15" s="2" t="s">
        <v>13</v>
      </c>
      <c r="G15" s="2">
        <v>1.1850000000000001</v>
      </c>
      <c r="H15" s="2">
        <v>1.1850000000000001</v>
      </c>
      <c r="I15" s="2">
        <v>1.1850000000000001</v>
      </c>
      <c r="J15" s="2">
        <v>1.1850000000000001</v>
      </c>
      <c r="K15" s="2">
        <v>1.1850000000000001</v>
      </c>
      <c r="L15" s="2">
        <v>1.1850000000000001</v>
      </c>
      <c r="M15" s="2">
        <v>1.1850000000000001</v>
      </c>
      <c r="N15" s="2">
        <v>1.1850000000000001</v>
      </c>
      <c r="O15" s="2">
        <v>1.1850000000000001</v>
      </c>
      <c r="P15" s="2">
        <v>1.1850000000000001</v>
      </c>
      <c r="Q15" s="2">
        <v>1.1850000000000001</v>
      </c>
      <c r="R15" s="2"/>
    </row>
    <row r="17" spans="6:24" x14ac:dyDescent="0.25">
      <c r="F17" s="2" t="s">
        <v>16</v>
      </c>
      <c r="G17" s="2">
        <f>$C$11-(G13^2)/(2*$C$8)</f>
        <v>282.56087402458587</v>
      </c>
      <c r="H17" s="2">
        <f t="shared" ref="H17:Q17" si="5">$C$11-(H13^2)/(2*$C$8)</f>
        <v>281.28570955773102</v>
      </c>
      <c r="I17" s="2">
        <f t="shared" si="5"/>
        <v>279.62373255962387</v>
      </c>
      <c r="J17" s="2">
        <f t="shared" si="5"/>
        <v>277.42677000655851</v>
      </c>
      <c r="K17" s="2">
        <f t="shared" si="5"/>
        <v>274.47497601330429</v>
      </c>
      <c r="L17" s="2">
        <f t="shared" si="5"/>
        <v>270.4357496711022</v>
      </c>
      <c r="M17" s="2">
        <f t="shared" si="5"/>
        <v>264.79247486478164</v>
      </c>
      <c r="N17" s="2">
        <f t="shared" si="5"/>
        <v>256.7182120420423</v>
      </c>
      <c r="O17" s="2">
        <f t="shared" si="5"/>
        <v>244.8426763757337</v>
      </c>
      <c r="P17" s="2">
        <f t="shared" si="5"/>
        <v>226.8021691403907</v>
      </c>
      <c r="Q17" s="2">
        <f t="shared" si="5"/>
        <v>198.32291579962947</v>
      </c>
    </row>
    <row r="18" spans="6:24" x14ac:dyDescent="0.25">
      <c r="F18" s="2" t="s">
        <v>17</v>
      </c>
      <c r="G18" s="2">
        <f>SQRT($C$7*$C$6*G17)</f>
        <v>336.93008591815726</v>
      </c>
      <c r="H18" s="2">
        <f t="shared" ref="H18:Q18" si="6">SQRT($C$7*$C$6*H17)</f>
        <v>336.16896302377717</v>
      </c>
      <c r="I18" s="2">
        <f t="shared" si="6"/>
        <v>335.17436431227929</v>
      </c>
      <c r="J18" s="2">
        <f t="shared" si="6"/>
        <v>333.85505995753749</v>
      </c>
      <c r="K18" s="2">
        <f t="shared" si="6"/>
        <v>332.0742175223574</v>
      </c>
      <c r="L18" s="2">
        <f t="shared" si="6"/>
        <v>329.62172734281603</v>
      </c>
      <c r="M18" s="2">
        <f t="shared" si="6"/>
        <v>326.16443174517747</v>
      </c>
      <c r="N18" s="2">
        <f t="shared" si="6"/>
        <v>321.15310094187248</v>
      </c>
      <c r="O18" s="2">
        <f t="shared" si="6"/>
        <v>313.6370346991182</v>
      </c>
      <c r="P18" s="2">
        <f t="shared" si="6"/>
        <v>301.8612610382105</v>
      </c>
      <c r="Q18" s="2">
        <f t="shared" si="6"/>
        <v>282.2735788379631</v>
      </c>
    </row>
    <row r="19" spans="6:24" x14ac:dyDescent="0.25">
      <c r="F19" s="2" t="s">
        <v>18</v>
      </c>
      <c r="G19" s="2">
        <f>G13/G18</f>
        <v>0.31476662433919406</v>
      </c>
      <c r="H19" s="2">
        <f t="shared" ref="H19:Q19" si="7">H13/H18</f>
        <v>0.3495623690979392</v>
      </c>
      <c r="I19" s="2">
        <f t="shared" si="7"/>
        <v>0.390689340339333</v>
      </c>
      <c r="J19" s="2">
        <f t="shared" si="7"/>
        <v>0.43982063861018134</v>
      </c>
      <c r="K19" s="2">
        <f t="shared" si="7"/>
        <v>0.49929357022650606</v>
      </c>
      <c r="L19" s="2">
        <f t="shared" si="7"/>
        <v>0.57244854587366489</v>
      </c>
      <c r="M19" s="2">
        <f t="shared" si="7"/>
        <v>0.66426001302310589</v>
      </c>
      <c r="N19" s="2">
        <f t="shared" si="7"/>
        <v>0.78254594858089832</v>
      </c>
      <c r="O19" s="2">
        <f t="shared" si="7"/>
        <v>0.94052819347733674</v>
      </c>
      <c r="P19" s="2">
        <f t="shared" si="7"/>
        <v>1.1630435223620925</v>
      </c>
      <c r="Q19" s="2">
        <f t="shared" si="7"/>
        <v>1.5049634207491218</v>
      </c>
    </row>
    <row r="23" spans="6:24" x14ac:dyDescent="0.25">
      <c r="R23" s="2" t="s">
        <v>19</v>
      </c>
      <c r="S23" s="9"/>
      <c r="T23" s="10"/>
      <c r="U23" s="10"/>
      <c r="V23" s="10"/>
      <c r="W23" s="10"/>
      <c r="X23" s="10"/>
    </row>
    <row r="24" spans="6:24" x14ac:dyDescent="0.25">
      <c r="R24" s="2" t="s">
        <v>0</v>
      </c>
      <c r="S24" s="8">
        <v>0</v>
      </c>
      <c r="T24" s="8">
        <v>2.5000000000000001E-2</v>
      </c>
      <c r="U24" s="8">
        <v>0.05</v>
      </c>
      <c r="V24" s="8">
        <v>7.4999999999999997E-2</v>
      </c>
      <c r="W24" s="5">
        <v>8.5000000000000006E-2</v>
      </c>
      <c r="X24" s="8">
        <v>0.1</v>
      </c>
    </row>
    <row r="25" spans="6:24" x14ac:dyDescent="0.25">
      <c r="R25" s="2" t="s">
        <v>2</v>
      </c>
      <c r="S25" s="7">
        <v>207771</v>
      </c>
      <c r="T25" s="7">
        <v>203257</v>
      </c>
      <c r="U25" s="7">
        <v>192492</v>
      </c>
      <c r="V25" s="7">
        <v>168165</v>
      </c>
      <c r="W25" s="2">
        <v>148689.5</v>
      </c>
      <c r="X25" s="2">
        <v>101325</v>
      </c>
    </row>
    <row r="26" spans="6:24" x14ac:dyDescent="0.25">
      <c r="R26" s="2" t="s">
        <v>1</v>
      </c>
      <c r="S26" s="7">
        <v>118.4877</v>
      </c>
      <c r="T26" s="7">
        <v>148.65209999999999</v>
      </c>
      <c r="U26" s="7">
        <v>200.7876</v>
      </c>
      <c r="V26" s="7">
        <v>285.13</v>
      </c>
      <c r="W26" s="2">
        <v>338.23829999999998</v>
      </c>
      <c r="X26" s="7">
        <v>440.15249999999997</v>
      </c>
    </row>
  </sheetData>
  <mergeCells count="1">
    <mergeCell ref="S23:X2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terat">
                <anchor moveWithCells="1">
                  <from>
                    <xdr:col>1</xdr:col>
                    <xdr:colOff>66675</xdr:colOff>
                    <xdr:row>15</xdr:row>
                    <xdr:rowOff>85725</xdr:rowOff>
                  </from>
                  <to>
                    <xdr:col>2</xdr:col>
                    <xdr:colOff>514350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ro_const</vt:lpstr>
      <vt:lpstr>ro_var</vt:lpstr>
      <vt:lpstr>M=1,5(ro_var)</vt:lpstr>
      <vt:lpstr>M=1,5(ro_const)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2021-05-23T12:51:32Z</dcterms:modified>
</cp:coreProperties>
</file>
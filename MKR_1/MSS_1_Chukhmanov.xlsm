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Chstep\Desktop\"/>
    </mc:Choice>
  </mc:AlternateContent>
  <bookViews>
    <workbookView xWindow="0" yWindow="0" windowWidth="15510" windowHeight="9600" activeTab="2"/>
  </bookViews>
  <sheets>
    <sheet name="1род" sheetId="1" r:id="rId1"/>
    <sheet name="2род" sheetId="2" r:id="rId2"/>
    <sheet name="3род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3" l="1"/>
  <c r="AJ11" i="3" l="1"/>
  <c r="C3" i="3"/>
  <c r="AH14" i="3" s="1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A14" i="3" l="1"/>
  <c r="L14" i="3"/>
  <c r="T14" i="3"/>
  <c r="AB14" i="3"/>
  <c r="M14" i="3"/>
  <c r="U14" i="3"/>
  <c r="AC14" i="3"/>
  <c r="S14" i="3"/>
  <c r="N14" i="3"/>
  <c r="V14" i="3"/>
  <c r="AD14" i="3"/>
  <c r="AI14" i="3"/>
  <c r="O14" i="3"/>
  <c r="C4" i="3"/>
  <c r="H14" i="3"/>
  <c r="P14" i="3"/>
  <c r="X14" i="3"/>
  <c r="AF14" i="3"/>
  <c r="F11" i="3"/>
  <c r="G14" i="3" s="1"/>
  <c r="AE14" i="3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AJ10" i="3" s="1"/>
  <c r="I14" i="3"/>
  <c r="Q14" i="3"/>
  <c r="Y14" i="3"/>
  <c r="AG14" i="3"/>
  <c r="K14" i="3"/>
  <c r="W14" i="3"/>
  <c r="J14" i="3"/>
  <c r="R14" i="3"/>
  <c r="Z14" i="3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F11" i="2"/>
  <c r="G14" i="2" s="1"/>
  <c r="F14" i="2"/>
  <c r="AJ11" i="2"/>
  <c r="C3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C4" i="1"/>
  <c r="AJ11" i="1"/>
  <c r="F11" i="1"/>
  <c r="AA10" i="1"/>
  <c r="AB10" i="1"/>
  <c r="AC10" i="1" s="1"/>
  <c r="AD10" i="1" s="1"/>
  <c r="AE10" i="1" s="1"/>
  <c r="AF10" i="1" s="1"/>
  <c r="AG10" i="1" s="1"/>
  <c r="AH10" i="1" s="1"/>
  <c r="AI10" i="1" s="1"/>
  <c r="AJ10" i="1" s="1"/>
  <c r="H10" i="1"/>
  <c r="I10" i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G10" i="1"/>
  <c r="C3" i="1"/>
  <c r="AF13" i="3" l="1"/>
  <c r="X13" i="3"/>
  <c r="P13" i="3"/>
  <c r="H13" i="3"/>
  <c r="M13" i="3"/>
  <c r="R13" i="3"/>
  <c r="Q13" i="3"/>
  <c r="AE13" i="3"/>
  <c r="W13" i="3"/>
  <c r="O13" i="3"/>
  <c r="G13" i="3"/>
  <c r="AC13" i="3"/>
  <c r="AD13" i="3"/>
  <c r="V13" i="3"/>
  <c r="N13" i="3"/>
  <c r="U13" i="3"/>
  <c r="Z13" i="3"/>
  <c r="AG13" i="3"/>
  <c r="AB13" i="3"/>
  <c r="T13" i="3"/>
  <c r="L13" i="3"/>
  <c r="J13" i="3"/>
  <c r="I13" i="3"/>
  <c r="AI13" i="3"/>
  <c r="AA13" i="3"/>
  <c r="S13" i="3"/>
  <c r="K13" i="3"/>
  <c r="AH13" i="3"/>
  <c r="Y13" i="3"/>
  <c r="G13" i="2"/>
  <c r="C4" i="2"/>
</calcChain>
</file>

<file path=xl/sharedStrings.xml><?xml version="1.0" encoding="utf-8"?>
<sst xmlns="http://schemas.openxmlformats.org/spreadsheetml/2006/main" count="39" uniqueCount="15">
  <si>
    <t>L</t>
  </si>
  <si>
    <t>dx</t>
  </si>
  <si>
    <t>dt</t>
  </si>
  <si>
    <t>t</t>
  </si>
  <si>
    <t>Cp</t>
  </si>
  <si>
    <t>ro</t>
  </si>
  <si>
    <t>lambda</t>
  </si>
  <si>
    <t>T_start</t>
  </si>
  <si>
    <t>T_end</t>
  </si>
  <si>
    <t>T</t>
  </si>
  <si>
    <t>T_i</t>
  </si>
  <si>
    <t>q</t>
  </si>
  <si>
    <t>q_start</t>
  </si>
  <si>
    <t>T_gas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</si>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</sst>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292.44847762710549</c:v>
                </c:pt>
                <c:pt idx="2">
                  <c:v>284.91629244247372</c:v>
                </c:pt>
                <c:pt idx="3">
                  <c:v>277.38410725784195</c:v>
                </c:pt>
                <c:pt idx="4">
                  <c:v>269.90908834269158</c:v>
                </c:pt>
                <c:pt idx="5">
                  <c:v>262.43406942754126</c:v>
                </c:pt>
                <c:pt idx="6">
                  <c:v>255.05154694957568</c:v>
                </c:pt>
                <c:pt idx="7">
                  <c:v>247.66902447161016</c:v>
                </c:pt>
                <c:pt idx="8">
                  <c:v>240.41028536314482</c:v>
                </c:pt>
                <c:pt idx="9">
                  <c:v>233.1515462546796</c:v>
                </c:pt>
                <c:pt idx="10">
                  <c:v>226.04246672011647</c:v>
                </c:pt>
                <c:pt idx="11">
                  <c:v>218.93338718555344</c:v>
                </c:pt>
                <c:pt idx="12">
                  <c:v>211.99330182207473</c:v>
                </c:pt>
                <c:pt idx="13">
                  <c:v>205.05321645859607</c:v>
                </c:pt>
                <c:pt idx="14">
                  <c:v>198.29407340887906</c:v>
                </c:pt>
                <c:pt idx="15">
                  <c:v>191.53493035916213</c:v>
                </c:pt>
                <c:pt idx="16">
                  <c:v>184.96076939105239</c:v>
                </c:pt>
                <c:pt idx="17">
                  <c:v>178.38660842294274</c:v>
                </c:pt>
                <c:pt idx="18">
                  <c:v>171.99338469967731</c:v>
                </c:pt>
                <c:pt idx="19">
                  <c:v>165.60016097641193</c:v>
                </c:pt>
                <c:pt idx="20">
                  <c:v>159.37592216285793</c:v>
                </c:pt>
                <c:pt idx="21">
                  <c:v>153.15168334930394</c:v>
                </c:pt>
                <c:pt idx="22">
                  <c:v>147.07709225719915</c:v>
                </c:pt>
                <c:pt idx="23">
                  <c:v>141.00250116509437</c:v>
                </c:pt>
                <c:pt idx="24">
                  <c:v>135.05168104835363</c:v>
                </c:pt>
                <c:pt idx="25">
                  <c:v>129.10086093161289</c:v>
                </c:pt>
                <c:pt idx="26">
                  <c:v>123.24252645929619</c:v>
                </c:pt>
                <c:pt idx="27">
                  <c:v>117.38419198697949</c:v>
                </c:pt>
                <c:pt idx="28">
                  <c:v>111.58301645892544</c:v>
                </c:pt>
                <c:pt idx="29">
                  <c:v>105.7818409308714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5B-4991-B09E-2EEDF3AA1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292.44847762710549</c:v>
                </c:pt>
                <c:pt idx="2">
                  <c:v>284.91629244247372</c:v>
                </c:pt>
                <c:pt idx="3">
                  <c:v>277.38410725784195</c:v>
                </c:pt>
                <c:pt idx="4">
                  <c:v>269.90908834269158</c:v>
                </c:pt>
                <c:pt idx="5">
                  <c:v>262.43406942754126</c:v>
                </c:pt>
                <c:pt idx="6">
                  <c:v>255.05154694957568</c:v>
                </c:pt>
                <c:pt idx="7">
                  <c:v>247.66902447161016</c:v>
                </c:pt>
                <c:pt idx="8">
                  <c:v>240.41028536314482</c:v>
                </c:pt>
                <c:pt idx="9">
                  <c:v>233.1515462546796</c:v>
                </c:pt>
                <c:pt idx="10">
                  <c:v>226.04246672011647</c:v>
                </c:pt>
                <c:pt idx="11">
                  <c:v>218.93338718555344</c:v>
                </c:pt>
                <c:pt idx="12">
                  <c:v>211.99330182207473</c:v>
                </c:pt>
                <c:pt idx="13">
                  <c:v>205.05321645859607</c:v>
                </c:pt>
                <c:pt idx="14">
                  <c:v>198.29407340887906</c:v>
                </c:pt>
                <c:pt idx="15">
                  <c:v>191.53493035916213</c:v>
                </c:pt>
                <c:pt idx="16">
                  <c:v>184.96076939105239</c:v>
                </c:pt>
                <c:pt idx="17">
                  <c:v>178.38660842294274</c:v>
                </c:pt>
                <c:pt idx="18">
                  <c:v>171.99338469967731</c:v>
                </c:pt>
                <c:pt idx="19">
                  <c:v>165.60016097641193</c:v>
                </c:pt>
                <c:pt idx="20">
                  <c:v>159.37592216285793</c:v>
                </c:pt>
                <c:pt idx="21">
                  <c:v>153.15168334930394</c:v>
                </c:pt>
                <c:pt idx="22">
                  <c:v>147.07709225719915</c:v>
                </c:pt>
                <c:pt idx="23">
                  <c:v>141.00250116509437</c:v>
                </c:pt>
                <c:pt idx="24">
                  <c:v>135.05168104835363</c:v>
                </c:pt>
                <c:pt idx="25">
                  <c:v>129.10086093161289</c:v>
                </c:pt>
                <c:pt idx="26">
                  <c:v>123.24252645929619</c:v>
                </c:pt>
                <c:pt idx="27">
                  <c:v>117.38419198697949</c:v>
                </c:pt>
                <c:pt idx="28">
                  <c:v>111.58301645892544</c:v>
                </c:pt>
                <c:pt idx="29">
                  <c:v>105.7818409308714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5A-4F4F-B36A-C52F805CC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292.44847762710549</c:v>
                </c:pt>
                <c:pt idx="2">
                  <c:v>284.91629244247372</c:v>
                </c:pt>
                <c:pt idx="3">
                  <c:v>277.38410725784195</c:v>
                </c:pt>
                <c:pt idx="4">
                  <c:v>269.90908834269158</c:v>
                </c:pt>
                <c:pt idx="5">
                  <c:v>262.43406942754126</c:v>
                </c:pt>
                <c:pt idx="6">
                  <c:v>255.05154694957568</c:v>
                </c:pt>
                <c:pt idx="7">
                  <c:v>247.66902447161016</c:v>
                </c:pt>
                <c:pt idx="8">
                  <c:v>240.41028536314482</c:v>
                </c:pt>
                <c:pt idx="9">
                  <c:v>233.1515462546796</c:v>
                </c:pt>
                <c:pt idx="10">
                  <c:v>226.04246672011647</c:v>
                </c:pt>
                <c:pt idx="11">
                  <c:v>218.93338718555344</c:v>
                </c:pt>
                <c:pt idx="12">
                  <c:v>211.99330182207473</c:v>
                </c:pt>
                <c:pt idx="13">
                  <c:v>205.05321645859607</c:v>
                </c:pt>
                <c:pt idx="14">
                  <c:v>198.29407340887906</c:v>
                </c:pt>
                <c:pt idx="15">
                  <c:v>191.53493035916213</c:v>
                </c:pt>
                <c:pt idx="16">
                  <c:v>184.96076939105239</c:v>
                </c:pt>
                <c:pt idx="17">
                  <c:v>178.38660842294274</c:v>
                </c:pt>
                <c:pt idx="18">
                  <c:v>171.99338469967731</c:v>
                </c:pt>
                <c:pt idx="19">
                  <c:v>165.60016097641193</c:v>
                </c:pt>
                <c:pt idx="20">
                  <c:v>159.37592216285793</c:v>
                </c:pt>
                <c:pt idx="21">
                  <c:v>153.15168334930394</c:v>
                </c:pt>
                <c:pt idx="22">
                  <c:v>147.07709225719915</c:v>
                </c:pt>
                <c:pt idx="23">
                  <c:v>141.00250116509437</c:v>
                </c:pt>
                <c:pt idx="24">
                  <c:v>135.05168104835363</c:v>
                </c:pt>
                <c:pt idx="25">
                  <c:v>129.10086093161289</c:v>
                </c:pt>
                <c:pt idx="26">
                  <c:v>123.24252645929619</c:v>
                </c:pt>
                <c:pt idx="27">
                  <c:v>117.38419198697949</c:v>
                </c:pt>
                <c:pt idx="28">
                  <c:v>111.58301645892544</c:v>
                </c:pt>
                <c:pt idx="29">
                  <c:v>105.7818409308714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22-4F7C-855E-E0C8FACB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N13"/>
  <sheetViews>
    <sheetView zoomScale="70" zoomScaleNormal="70" workbookViewId="0">
      <selection activeCell="D22" sqref="A1:XFD1048576"/>
    </sheetView>
  </sheetViews>
  <sheetFormatPr defaultRowHeight="15" x14ac:dyDescent="0.25"/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620</v>
      </c>
      <c r="D5">
        <v>620.43333333333328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7</v>
      </c>
      <c r="C11" s="1">
        <v>300</v>
      </c>
      <c r="E11" t="s">
        <v>9</v>
      </c>
      <c r="F11">
        <f>C11</f>
        <v>300</v>
      </c>
      <c r="G11">
        <v>292.44847762710549</v>
      </c>
      <c r="H11">
        <v>284.91629244247372</v>
      </c>
      <c r="I11">
        <v>277.38410725784195</v>
      </c>
      <c r="J11">
        <v>269.90908834269158</v>
      </c>
      <c r="K11">
        <v>262.43406942754126</v>
      </c>
      <c r="L11">
        <v>255.05154694957568</v>
      </c>
      <c r="M11">
        <v>247.66902447161016</v>
      </c>
      <c r="N11">
        <v>240.41028536314482</v>
      </c>
      <c r="O11">
        <v>233.1515462546796</v>
      </c>
      <c r="P11">
        <v>226.04246672011647</v>
      </c>
      <c r="Q11">
        <v>218.93338718555344</v>
      </c>
      <c r="R11">
        <v>211.99330182207473</v>
      </c>
      <c r="S11">
        <v>205.05321645859607</v>
      </c>
      <c r="T11">
        <v>198.29407340887906</v>
      </c>
      <c r="U11">
        <v>191.53493035916213</v>
      </c>
      <c r="V11">
        <v>184.96076939105239</v>
      </c>
      <c r="W11">
        <v>178.38660842294274</v>
      </c>
      <c r="X11">
        <v>171.99338469967731</v>
      </c>
      <c r="Y11">
        <v>165.60016097641193</v>
      </c>
      <c r="Z11">
        <v>159.37592216285793</v>
      </c>
      <c r="AA11">
        <v>153.15168334930394</v>
      </c>
      <c r="AB11">
        <v>147.07709225719915</v>
      </c>
      <c r="AC11">
        <v>141.00250116509437</v>
      </c>
      <c r="AD11">
        <v>135.05168104835363</v>
      </c>
      <c r="AE11">
        <v>129.10086093161289</v>
      </c>
      <c r="AF11">
        <v>123.24252645929619</v>
      </c>
      <c r="AG11">
        <v>117.38419198697949</v>
      </c>
      <c r="AH11">
        <v>111.58301645892544</v>
      </c>
      <c r="AI11">
        <v>105.7818409308714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292.45814622123686</v>
      </c>
      <c r="H13">
        <f t="shared" ref="H13:AI13" si="1">H11+(($C$9*$C$4)/($C$8*$C$7))*((I11-2*H11+G11)/($C$3^2))</f>
        <v>284.91629244247372</v>
      </c>
      <c r="I13">
        <f t="shared" si="1"/>
        <v>277.41269039258265</v>
      </c>
      <c r="J13">
        <f t="shared" si="1"/>
        <v>269.90908834269158</v>
      </c>
      <c r="K13">
        <f t="shared" si="1"/>
        <v>262.48031764613364</v>
      </c>
      <c r="L13">
        <f t="shared" si="1"/>
        <v>255.05154694957571</v>
      </c>
      <c r="M13">
        <f t="shared" si="1"/>
        <v>247.73091615636025</v>
      </c>
      <c r="N13">
        <f t="shared" si="1"/>
        <v>240.41028536314488</v>
      </c>
      <c r="O13">
        <f t="shared" si="1"/>
        <v>233.22637604163066</v>
      </c>
      <c r="P13">
        <f t="shared" si="1"/>
        <v>226.04246672011652</v>
      </c>
      <c r="Q13">
        <f t="shared" si="1"/>
        <v>219.0178842710956</v>
      </c>
      <c r="R13">
        <f t="shared" si="1"/>
        <v>211.99330182207476</v>
      </c>
      <c r="S13">
        <f t="shared" si="1"/>
        <v>205.14368761547689</v>
      </c>
      <c r="T13">
        <f t="shared" si="1"/>
        <v>198.29407340887911</v>
      </c>
      <c r="U13">
        <f t="shared" si="1"/>
        <v>191.62742139996573</v>
      </c>
      <c r="V13">
        <f t="shared" si="1"/>
        <v>184.96076939105245</v>
      </c>
      <c r="W13">
        <f t="shared" si="1"/>
        <v>178.47707704536487</v>
      </c>
      <c r="X13">
        <f t="shared" si="1"/>
        <v>171.99338469967734</v>
      </c>
      <c r="Y13">
        <f t="shared" si="1"/>
        <v>165.68465343126763</v>
      </c>
      <c r="Z13">
        <f t="shared" si="1"/>
        <v>159.37592216285793</v>
      </c>
      <c r="AA13">
        <f t="shared" si="1"/>
        <v>153.22650721002856</v>
      </c>
      <c r="AB13">
        <f t="shared" si="1"/>
        <v>147.07709225719915</v>
      </c>
      <c r="AC13">
        <f t="shared" si="1"/>
        <v>141.06438665277639</v>
      </c>
      <c r="AD13">
        <f t="shared" si="1"/>
        <v>135.05168104835363</v>
      </c>
      <c r="AE13">
        <f t="shared" si="1"/>
        <v>129.14710375382492</v>
      </c>
      <c r="AF13">
        <f t="shared" si="1"/>
        <v>123.24252645929619</v>
      </c>
      <c r="AG13">
        <f t="shared" si="1"/>
        <v>117.41277145911081</v>
      </c>
      <c r="AH13">
        <f t="shared" si="1"/>
        <v>111.58301645892544</v>
      </c>
      <c r="AI13">
        <f t="shared" si="1"/>
        <v>105.79150822946272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N14"/>
  <sheetViews>
    <sheetView zoomScale="70" zoomScaleNormal="70" workbookViewId="0">
      <selection activeCell="C19" sqref="A1:XFD1048576"/>
    </sheetView>
  </sheetViews>
  <sheetFormatPr defaultRowHeight="15" x14ac:dyDescent="0.25"/>
  <cols>
    <col min="7" max="7" width="12.140625" bestFit="1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5000</v>
      </c>
      <c r="D5">
        <v>5000.4333333333334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12</v>
      </c>
      <c r="C11" s="1">
        <v>92000</v>
      </c>
      <c r="E11" t="s">
        <v>9</v>
      </c>
      <c r="F11">
        <f>(F14/C9)*C3+G11</f>
        <v>299.76152995395427</v>
      </c>
      <c r="G11">
        <v>293.09486328728758</v>
      </c>
      <c r="H11">
        <v>286.42887258987537</v>
      </c>
      <c r="I11">
        <v>279.76355594560931</v>
      </c>
      <c r="J11">
        <v>273.09890952770422</v>
      </c>
      <c r="K11">
        <v>266.43492760954553</v>
      </c>
      <c r="L11">
        <v>259.77160258092186</v>
      </c>
      <c r="M11">
        <v>253.1089249695971</v>
      </c>
      <c r="N11">
        <v>246.44688346816059</v>
      </c>
      <c r="O11">
        <v>239.78546496607885</v>
      </c>
      <c r="P11">
        <v>233.12465458685932</v>
      </c>
      <c r="Q11">
        <v>226.46443573021875</v>
      </c>
      <c r="R11">
        <v>219.80479011913943</v>
      </c>
      <c r="S11">
        <v>213.14569785167603</v>
      </c>
      <c r="T11">
        <v>206.4871374573716</v>
      </c>
      <c r="U11">
        <v>199.82908595811583</v>
      </c>
      <c r="V11">
        <v>193.17151893328128</v>
      </c>
      <c r="W11">
        <v>186.51441058894395</v>
      </c>
      <c r="X11">
        <v>179.85773383100135</v>
      </c>
      <c r="Y11">
        <v>173.20146034197114</v>
      </c>
      <c r="Z11">
        <v>166.54556066126284</v>
      </c>
      <c r="AA11">
        <v>159.89000426868424</v>
      </c>
      <c r="AB11">
        <v>153.23475967095703</v>
      </c>
      <c r="AC11">
        <v>146.57979449098519</v>
      </c>
      <c r="AD11">
        <v>139.925075559634</v>
      </c>
      <c r="AE11">
        <v>133.27056900974901</v>
      </c>
      <c r="AF11">
        <v>126.61624037215859</v>
      </c>
      <c r="AG11">
        <v>119.96205467337839</v>
      </c>
      <c r="AH11">
        <v>113.30797653474929</v>
      </c>
      <c r="AI11">
        <v>106.65397027272058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293.09520127191479</v>
      </c>
      <c r="H13">
        <f t="shared" ref="H13:AI13" si="1">H11+(($C$9*$C$4)/($C$8*$C$7))*((I11-2*H11+G11)/($C$3^2))</f>
        <v>286.42920961644847</v>
      </c>
      <c r="I13">
        <f t="shared" si="1"/>
        <v>279.7638910587898</v>
      </c>
      <c r="J13">
        <f t="shared" si="1"/>
        <v>273.09924177757739</v>
      </c>
      <c r="K13">
        <f t="shared" si="1"/>
        <v>266.43525605431307</v>
      </c>
      <c r="L13">
        <f t="shared" si="1"/>
        <v>259.7719262895713</v>
      </c>
      <c r="M13">
        <f t="shared" si="1"/>
        <v>253.10924302454123</v>
      </c>
      <c r="N13">
        <f t="shared" si="1"/>
        <v>246.44719496783796</v>
      </c>
      <c r="O13">
        <f t="shared" si="1"/>
        <v>239.78576902750996</v>
      </c>
      <c r="P13">
        <f t="shared" si="1"/>
        <v>233.12495034814879</v>
      </c>
      <c r="Q13">
        <f t="shared" si="1"/>
        <v>226.46472235299939</v>
      </c>
      <c r="R13">
        <f t="shared" si="1"/>
        <v>219.80506679094739</v>
      </c>
      <c r="S13">
        <f t="shared" si="1"/>
        <v>213.14596378825553</v>
      </c>
      <c r="T13">
        <f t="shared" si="1"/>
        <v>206.48739190489593</v>
      </c>
      <c r="U13">
        <f t="shared" si="1"/>
        <v>199.82932819532644</v>
      </c>
      <c r="V13">
        <f t="shared" si="1"/>
        <v>193.17174827352989</v>
      </c>
      <c r="W13">
        <f t="shared" si="1"/>
        <v>186.51462638214133</v>
      </c>
      <c r="X13">
        <f t="shared" si="1"/>
        <v>179.85793546545756</v>
      </c>
      <c r="Y13">
        <f t="shared" si="1"/>
        <v>173.2016472461321</v>
      </c>
      <c r="Z13">
        <f t="shared" si="1"/>
        <v>166.5457323053277</v>
      </c>
      <c r="AA13">
        <f t="shared" si="1"/>
        <v>159.89016016610992</v>
      </c>
      <c r="AB13">
        <f t="shared" si="1"/>
        <v>153.2348993798347</v>
      </c>
      <c r="AC13">
        <f t="shared" si="1"/>
        <v>146.57991761529553</v>
      </c>
      <c r="AD13">
        <f t="shared" si="1"/>
        <v>139.9251817503671</v>
      </c>
      <c r="AE13">
        <f t="shared" si="1"/>
        <v>133.27065796589631</v>
      </c>
      <c r="AF13">
        <f t="shared" si="1"/>
        <v>126.6163118415637</v>
      </c>
      <c r="AG13">
        <f t="shared" si="1"/>
        <v>119.96210845345394</v>
      </c>
      <c r="AH13">
        <f t="shared" si="1"/>
        <v>113.30801247304949</v>
      </c>
      <c r="AI13">
        <f t="shared" si="1"/>
        <v>106.65398826737464</v>
      </c>
    </row>
    <row r="14" spans="2:40" x14ac:dyDescent="0.25">
      <c r="E14" t="s">
        <v>11</v>
      </c>
      <c r="F14">
        <f>C11</f>
        <v>92000</v>
      </c>
      <c r="G14">
        <f>-$C$9*((G11-F11)/$C$3)</f>
        <v>92000.000000000247</v>
      </c>
      <c r="H14">
        <f t="shared" ref="H14:AI14" si="2">-$C$9*((H11-G11)/$C$3)</f>
        <v>91990.671624288516</v>
      </c>
      <c r="I14">
        <f t="shared" si="2"/>
        <v>91981.369690871565</v>
      </c>
      <c r="J14">
        <f t="shared" si="2"/>
        <v>91972.120567090227</v>
      </c>
      <c r="K14">
        <f t="shared" si="2"/>
        <v>91962.950470590018</v>
      </c>
      <c r="L14">
        <f t="shared" si="2"/>
        <v>91953.885395006495</v>
      </c>
      <c r="M14">
        <f t="shared" si="2"/>
        <v>91944.951036281782</v>
      </c>
      <c r="N14">
        <f t="shared" si="2"/>
        <v>91936.172719823764</v>
      </c>
      <c r="O14">
        <f t="shared" si="2"/>
        <v>91927.575328728068</v>
      </c>
      <c r="P14">
        <f t="shared" si="2"/>
        <v>91919.183233229458</v>
      </c>
      <c r="Q14">
        <f t="shared" si="2"/>
        <v>91911.020221639847</v>
      </c>
      <c r="R14">
        <f t="shared" si="2"/>
        <v>91903.109432894707</v>
      </c>
      <c r="S14">
        <f t="shared" si="2"/>
        <v>91895.473290994807</v>
      </c>
      <c r="T14">
        <f t="shared" si="2"/>
        <v>91888.133441401136</v>
      </c>
      <c r="U14">
        <f t="shared" si="2"/>
        <v>91881.110689729714</v>
      </c>
      <c r="V14">
        <f t="shared" si="2"/>
        <v>91874.424942716767</v>
      </c>
      <c r="W14">
        <f t="shared" si="2"/>
        <v>91868.095151855159</v>
      </c>
      <c r="X14">
        <f t="shared" si="2"/>
        <v>91862.139259607749</v>
      </c>
      <c r="Y14">
        <f t="shared" si="2"/>
        <v>91856.574148616928</v>
      </c>
      <c r="Z14">
        <f t="shared" si="2"/>
        <v>91851.415593774567</v>
      </c>
      <c r="AA14">
        <f t="shared" si="2"/>
        <v>91846.678217584718</v>
      </c>
      <c r="AB14">
        <f t="shared" si="2"/>
        <v>91842.375448635416</v>
      </c>
      <c r="AC14">
        <f t="shared" si="2"/>
        <v>91838.519483611366</v>
      </c>
      <c r="AD14">
        <f t="shared" si="2"/>
        <v>91835.121252646524</v>
      </c>
      <c r="AE14">
        <f t="shared" si="2"/>
        <v>91832.190388412797</v>
      </c>
      <c r="AF14">
        <f t="shared" si="2"/>
        <v>91829.735198747847</v>
      </c>
      <c r="AG14">
        <f t="shared" si="2"/>
        <v>91827.762643166701</v>
      </c>
      <c r="AH14">
        <f t="shared" si="2"/>
        <v>91826.27831308161</v>
      </c>
      <c r="AI14">
        <f t="shared" si="2"/>
        <v>91825.286415996074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N14"/>
  <sheetViews>
    <sheetView tabSelected="1" zoomScale="85" zoomScaleNormal="85" workbookViewId="0">
      <selection activeCell="E16" sqref="E16"/>
    </sheetView>
  </sheetViews>
  <sheetFormatPr defaultRowHeight="15" x14ac:dyDescent="0.25"/>
  <cols>
    <col min="6" max="6" width="10.28515625" bestFit="1" customWidth="1"/>
    <col min="7" max="7" width="12.140625" bestFit="1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5000</v>
      </c>
      <c r="D5">
        <v>5000.4333333333334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13</v>
      </c>
      <c r="C11" s="1">
        <v>1500</v>
      </c>
      <c r="E11" t="s">
        <v>9</v>
      </c>
      <c r="F11">
        <f>(F14/C9)*C3+G11</f>
        <v>291.50613673926432</v>
      </c>
      <c r="G11">
        <v>285.11483239143826</v>
      </c>
      <c r="H11">
        <v>278.72418848955613</v>
      </c>
      <c r="I11">
        <v>272.33420316151199</v>
      </c>
      <c r="J11">
        <v>265.94487266840127</v>
      </c>
      <c r="K11">
        <v>259.55619141511784</v>
      </c>
      <c r="L11">
        <v>253.16815196621587</v>
      </c>
      <c r="M11">
        <v>246.78074506698397</v>
      </c>
      <c r="N11">
        <v>240.39395966968124</v>
      </c>
      <c r="O11">
        <v>234.00778296485095</v>
      </c>
      <c r="P11">
        <v>227.62220041763243</v>
      </c>
      <c r="Q11">
        <v>221.23719580895965</v>
      </c>
      <c r="R11">
        <v>214.85275128153816</v>
      </c>
      <c r="S11">
        <v>208.46884739046106</v>
      </c>
      <c r="T11">
        <v>202.08546315833036</v>
      </c>
      <c r="U11">
        <v>195.70257613471694</v>
      </c>
      <c r="V11">
        <v>189.3201624598014</v>
      </c>
      <c r="W11">
        <v>182.9381969320049</v>
      </c>
      <c r="X11">
        <v>176.55665307942797</v>
      </c>
      <c r="Y11">
        <v>170.17550323488587</v>
      </c>
      <c r="Z11">
        <v>163.79471861433626</v>
      </c>
      <c r="AA11">
        <v>157.41426939846883</v>
      </c>
      <c r="AB11">
        <v>151.03412481723305</v>
      </c>
      <c r="AC11">
        <v>144.6542532370577</v>
      </c>
      <c r="AD11">
        <v>138.27462225052108</v>
      </c>
      <c r="AE11">
        <v>131.895198768212</v>
      </c>
      <c r="AF11">
        <v>125.51594911252664</v>
      </c>
      <c r="AG11">
        <v>119.13683911313021</v>
      </c>
      <c r="AH11">
        <v>112.75783420381738</v>
      </c>
      <c r="AI11">
        <v>106.37889952049326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285.11516261441022</v>
      </c>
      <c r="H13">
        <f t="shared" ref="H13:AI13" si="1">H11+(($C$9*$C$4)/($C$8*$C$7))*((I11-2*H11+G11)/($C$3^2))</f>
        <v>278.72451777647512</v>
      </c>
      <c r="I13">
        <f t="shared" si="1"/>
        <v>272.33453057897873</v>
      </c>
      <c r="J13">
        <f t="shared" si="1"/>
        <v>265.94519728831494</v>
      </c>
      <c r="K13">
        <f t="shared" si="1"/>
        <v>259.5565123173086</v>
      </c>
      <c r="L13">
        <f t="shared" si="1"/>
        <v>253.1684682410509</v>
      </c>
      <c r="M13">
        <f t="shared" si="1"/>
        <v>246.78105581794856</v>
      </c>
      <c r="N13">
        <f t="shared" si="1"/>
        <v>240.39426401591746</v>
      </c>
      <c r="O13">
        <f t="shared" si="1"/>
        <v>234.00808004365683</v>
      </c>
      <c r="P13">
        <f t="shared" si="1"/>
        <v>227.6224893869053</v>
      </c>
      <c r="Q13">
        <f t="shared" si="1"/>
        <v>221.23747584958528</v>
      </c>
      <c r="R13">
        <f t="shared" si="1"/>
        <v>214.85302159971036</v>
      </c>
      <c r="S13">
        <f t="shared" si="1"/>
        <v>208.46910721993424</v>
      </c>
      <c r="T13">
        <f t="shared" si="1"/>
        <v>202.085711762589</v>
      </c>
      <c r="U13">
        <f t="shared" si="1"/>
        <v>195.70281280906588</v>
      </c>
      <c r="V13">
        <f t="shared" si="1"/>
        <v>189.32038653336093</v>
      </c>
      <c r="W13">
        <f t="shared" si="1"/>
        <v>182.93840776961468</v>
      </c>
      <c r="X13">
        <f t="shared" si="1"/>
        <v>176.5568500834454</v>
      </c>
      <c r="Y13">
        <f t="shared" si="1"/>
        <v>170.17568584688212</v>
      </c>
      <c r="Z13">
        <f t="shared" si="1"/>
        <v>163.79488631667735</v>
      </c>
      <c r="AA13">
        <f t="shared" si="1"/>
        <v>157.41442171578467</v>
      </c>
      <c r="AB13">
        <f t="shared" si="1"/>
        <v>151.03426131776325</v>
      </c>
      <c r="AC13">
        <f t="shared" si="1"/>
        <v>144.65437353387705</v>
      </c>
      <c r="AD13">
        <f t="shared" si="1"/>
        <v>138.27472600263485</v>
      </c>
      <c r="AE13">
        <f t="shared" si="1"/>
        <v>131.89528568152386</v>
      </c>
      <c r="AF13">
        <f t="shared" si="1"/>
        <v>125.5160189406711</v>
      </c>
      <c r="AG13">
        <f t="shared" si="1"/>
        <v>119.136891658172</v>
      </c>
      <c r="AH13">
        <f t="shared" si="1"/>
        <v>112.75786931681174</v>
      </c>
      <c r="AI13">
        <f t="shared" si="1"/>
        <v>106.37891710190868</v>
      </c>
    </row>
    <row r="14" spans="2:40" x14ac:dyDescent="0.25">
      <c r="B14" s="1" t="s">
        <v>14</v>
      </c>
      <c r="C14" s="1">
        <v>63</v>
      </c>
      <c r="E14" t="s">
        <v>11</v>
      </c>
      <c r="F14">
        <f>C14*ABS(C12-C11)</f>
        <v>88200</v>
      </c>
      <c r="G14">
        <f>-$C$9*((G11-F11)/$C$3)</f>
        <v>88199.99999999968</v>
      </c>
      <c r="H14">
        <f t="shared" ref="H14:AI14" si="2">-$C$9*((H11-G11)/$C$3)</f>
        <v>88190.88584597336</v>
      </c>
      <c r="I14">
        <f t="shared" si="2"/>
        <v>88181.797527009025</v>
      </c>
      <c r="J14">
        <f t="shared" si="2"/>
        <v>88172.760804927922</v>
      </c>
      <c r="K14">
        <f t="shared" si="2"/>
        <v>88163.801295311423</v>
      </c>
      <c r="L14">
        <f t="shared" si="2"/>
        <v>88154.944394847087</v>
      </c>
      <c r="M14">
        <f t="shared" si="2"/>
        <v>88146.215209400281</v>
      </c>
      <c r="N14">
        <f t="shared" si="2"/>
        <v>88137.638482777678</v>
      </c>
      <c r="O14">
        <f t="shared" si="2"/>
        <v>88129.23852665801</v>
      </c>
      <c r="P14">
        <f t="shared" si="2"/>
        <v>88121.039151615551</v>
      </c>
      <c r="Q14">
        <f t="shared" si="2"/>
        <v>88113.063599684261</v>
      </c>
      <c r="R14">
        <f t="shared" si="2"/>
        <v>88105.334478416597</v>
      </c>
      <c r="S14">
        <f t="shared" si="2"/>
        <v>88097.873696863928</v>
      </c>
      <c r="T14">
        <f t="shared" si="2"/>
        <v>88090.702403403775</v>
      </c>
      <c r="U14">
        <f t="shared" si="2"/>
        <v>88083.840925865195</v>
      </c>
      <c r="V14">
        <f t="shared" si="2"/>
        <v>88077.308713834442</v>
      </c>
      <c r="W14">
        <f t="shared" si="2"/>
        <v>88071.124283591635</v>
      </c>
      <c r="X14">
        <f t="shared" si="2"/>
        <v>88065.305165561556</v>
      </c>
      <c r="Y14">
        <f t="shared" si="2"/>
        <v>88059.867854681084</v>
      </c>
      <c r="Z14">
        <f t="shared" si="2"/>
        <v>88054.82776358453</v>
      </c>
      <c r="AA14">
        <f t="shared" si="2"/>
        <v>88050.199178970521</v>
      </c>
      <c r="AB14">
        <f t="shared" si="2"/>
        <v>88045.995221053789</v>
      </c>
      <c r="AC14">
        <f t="shared" si="2"/>
        <v>88042.227806419789</v>
      </c>
      <c r="AD14">
        <f t="shared" si="2"/>
        <v>88038.907614205425</v>
      </c>
      <c r="AE14">
        <f t="shared" si="2"/>
        <v>88036.044055865292</v>
      </c>
      <c r="AF14">
        <f t="shared" si="2"/>
        <v>88033.645248457906</v>
      </c>
      <c r="AG14">
        <f t="shared" si="2"/>
        <v>88031.717991670783</v>
      </c>
      <c r="AH14">
        <f t="shared" si="2"/>
        <v>88030.267748516984</v>
      </c>
      <c r="AI14">
        <f t="shared" si="2"/>
        <v>88029.298629872836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1род</vt:lpstr>
      <vt:lpstr>2род</vt:lpstr>
      <vt:lpstr>3род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Chstep</dc:creator>
  <cp:lastModifiedBy>Chstep</cp:lastModifiedBy>
  <dcterms:created xsi:type="dcterms:W3CDTF">2021-03-20T15:25:01Z</dcterms:created>
  <dcterms:modified xsi:type="dcterms:W3CDTF">2021-03-20T17:31:43Z</dcterms:modified>
</cp:coreProperties>
</file>
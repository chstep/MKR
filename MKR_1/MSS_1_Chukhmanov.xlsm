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МСС\MKR_1\"/>
    </mc:Choice>
  </mc:AlternateContent>
  <bookViews>
    <workbookView xWindow="0" yWindow="0" windowWidth="15510" windowHeight="9600" activeTab="3"/>
  </bookViews>
  <sheets>
    <sheet name="1род" sheetId="1" r:id="rId1"/>
    <sheet name="2род" sheetId="2" r:id="rId2"/>
    <sheet name="3 род" sheetId="6" r:id="rId3"/>
    <sheet name="4 род" sheetId="7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7" l="1"/>
  <c r="F11" i="2"/>
  <c r="AJ11" i="7" l="1"/>
  <c r="C3" i="7"/>
  <c r="AE14" i="7" s="1"/>
  <c r="X14" i="7" l="1"/>
  <c r="I14" i="7"/>
  <c r="G10" i="7"/>
  <c r="H10" i="7" s="1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AJ10" i="7" s="1"/>
  <c r="J14" i="7"/>
  <c r="Z14" i="7"/>
  <c r="K14" i="7"/>
  <c r="AI14" i="7"/>
  <c r="L14" i="7"/>
  <c r="T14" i="7"/>
  <c r="AB14" i="7"/>
  <c r="Q14" i="7"/>
  <c r="R14" i="7"/>
  <c r="AH14" i="7"/>
  <c r="S14" i="7"/>
  <c r="AA14" i="7"/>
  <c r="M14" i="7"/>
  <c r="U14" i="7"/>
  <c r="AC14" i="7"/>
  <c r="P14" i="7"/>
  <c r="C4" i="7"/>
  <c r="Y14" i="7"/>
  <c r="AD14" i="7"/>
  <c r="G14" i="7"/>
  <c r="H14" i="7"/>
  <c r="AF14" i="7"/>
  <c r="AG14" i="7"/>
  <c r="N14" i="7"/>
  <c r="V14" i="7"/>
  <c r="O14" i="7"/>
  <c r="W14" i="7"/>
  <c r="AB13" i="7" l="1"/>
  <c r="T13" i="7"/>
  <c r="L13" i="7"/>
  <c r="AI13" i="7"/>
  <c r="S13" i="7"/>
  <c r="K13" i="7"/>
  <c r="W13" i="7"/>
  <c r="V13" i="7"/>
  <c r="AA13" i="7"/>
  <c r="O13" i="7"/>
  <c r="N13" i="7"/>
  <c r="AH13" i="7"/>
  <c r="Z13" i="7"/>
  <c r="R13" i="7"/>
  <c r="J13" i="7"/>
  <c r="AF13" i="7"/>
  <c r="P13" i="7"/>
  <c r="H13" i="7"/>
  <c r="AE13" i="7"/>
  <c r="G13" i="7"/>
  <c r="AD13" i="7"/>
  <c r="U13" i="7"/>
  <c r="AG13" i="7"/>
  <c r="Y13" i="7"/>
  <c r="Q13" i="7"/>
  <c r="I13" i="7"/>
  <c r="X13" i="7"/>
  <c r="AC13" i="7"/>
  <c r="M13" i="7"/>
  <c r="AH14" i="6" l="1"/>
  <c r="Z14" i="6"/>
  <c r="R14" i="6"/>
  <c r="J14" i="6"/>
  <c r="AJ11" i="6"/>
  <c r="G10" i="6"/>
  <c r="H10" i="6" s="1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 s="1"/>
  <c r="AE10" i="6" s="1"/>
  <c r="AF10" i="6" s="1"/>
  <c r="AG10" i="6" s="1"/>
  <c r="AH10" i="6" s="1"/>
  <c r="AI10" i="6" s="1"/>
  <c r="AJ10" i="6" s="1"/>
  <c r="C3" i="6"/>
  <c r="AG14" i="6" s="1"/>
  <c r="S14" i="6" l="1"/>
  <c r="AI14" i="6"/>
  <c r="T14" i="6"/>
  <c r="U14" i="6"/>
  <c r="N14" i="6"/>
  <c r="V14" i="6"/>
  <c r="AD14" i="6"/>
  <c r="K14" i="6"/>
  <c r="AA14" i="6"/>
  <c r="L14" i="6"/>
  <c r="AB14" i="6"/>
  <c r="M14" i="6"/>
  <c r="AC14" i="6"/>
  <c r="O14" i="6"/>
  <c r="W14" i="6"/>
  <c r="AE14" i="6"/>
  <c r="F11" i="6"/>
  <c r="G14" i="6" s="1"/>
  <c r="H14" i="6"/>
  <c r="P14" i="6"/>
  <c r="X14" i="6"/>
  <c r="AF14" i="6"/>
  <c r="C4" i="6"/>
  <c r="I14" i="6"/>
  <c r="Q14" i="6"/>
  <c r="Y14" i="6"/>
  <c r="AD13" i="6" l="1"/>
  <c r="V13" i="6"/>
  <c r="N13" i="6"/>
  <c r="AC13" i="6"/>
  <c r="U13" i="6"/>
  <c r="M13" i="6"/>
  <c r="AE13" i="6"/>
  <c r="G13" i="6"/>
  <c r="AB13" i="6"/>
  <c r="T13" i="6"/>
  <c r="L13" i="6"/>
  <c r="Z13" i="6"/>
  <c r="J13" i="6"/>
  <c r="Y13" i="6"/>
  <c r="I13" i="6"/>
  <c r="X13" i="6"/>
  <c r="P13" i="6"/>
  <c r="W13" i="6"/>
  <c r="AI13" i="6"/>
  <c r="AA13" i="6"/>
  <c r="S13" i="6"/>
  <c r="K13" i="6"/>
  <c r="AH13" i="6"/>
  <c r="R13" i="6"/>
  <c r="AG13" i="6"/>
  <c r="Q13" i="6"/>
  <c r="AF13" i="6"/>
  <c r="H13" i="6"/>
  <c r="O13" i="6"/>
  <c r="G13" i="1" l="1"/>
  <c r="Z13" i="1"/>
  <c r="I13" i="1"/>
  <c r="H13" i="1"/>
  <c r="C4" i="1" l="1"/>
  <c r="C4" i="2"/>
  <c r="H14" i="2" l="1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H13" i="2" l="1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G14" i="2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</calcChain>
</file>

<file path=xl/sharedStrings.xml><?xml version="1.0" encoding="utf-8"?>
<sst xmlns="http://schemas.openxmlformats.org/spreadsheetml/2006/main" count="53" uniqueCount="16">
  <si>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</si>
  <si>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</si>
  <si>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</si>
  <si>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</si>
  <si>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</si>
  <si>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</si>
  <si>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</si>
  <si>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</si>
  <si>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</si>
  <si>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</si>
  <si>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</si>
  <si>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</si>
  <si>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</si>
  <si>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</si>
  <si>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</si>
  <si>
    <t>lambda_air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</si>
</sst>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 род'!$F$11:$AJ$11</c:f>
              <c:numCache>
                <c:formatCode>General</c:formatCode>
                <c:ptCount val="31"/>
                <c:pt idx="0">
                  <c:v>117.90322154365064</c:v>
                </c:pt>
                <c:pt idx="1">
                  <c:v>117.07191016374124</c:v>
                </c:pt>
                <c:pt idx="2">
                  <c:v>116.26008853656475</c:v>
                </c:pt>
                <c:pt idx="3">
                  <c:v>115.46778233946264</c:v>
                </c:pt>
                <c:pt idx="4">
                  <c:v>114.69496142404105</c:v>
                </c:pt>
                <c:pt idx="5">
                  <c:v>113.94152570375303</c:v>
                </c:pt>
                <c:pt idx="6">
                  <c:v>113.20732657253386</c:v>
                </c:pt>
                <c:pt idx="7">
                  <c:v>112.49213960697028</c:v>
                </c:pt>
                <c:pt idx="8">
                  <c:v>111.79569937783657</c:v>
                </c:pt>
                <c:pt idx="9">
                  <c:v>111.11766021636133</c:v>
                </c:pt>
                <c:pt idx="10">
                  <c:v>110.45764286764161</c:v>
                </c:pt>
                <c:pt idx="11">
                  <c:v>109.81518512217514</c:v>
                </c:pt>
                <c:pt idx="12">
                  <c:v>109.189798237118</c:v>
                </c:pt>
                <c:pt idx="13">
                  <c:v>108.58090970415985</c:v>
                </c:pt>
                <c:pt idx="14">
                  <c:v>107.98792693487503</c:v>
                </c:pt>
                <c:pt idx="15">
                  <c:v>107.41017480279598</c:v>
                </c:pt>
                <c:pt idx="16">
                  <c:v>106.84696377196019</c:v>
                </c:pt>
                <c:pt idx="17">
                  <c:v>106.29752509796486</c:v>
                </c:pt>
                <c:pt idx="18">
                  <c:v>105.76108038842628</c:v>
                </c:pt>
                <c:pt idx="19">
                  <c:v>105.23677746358254</c:v>
                </c:pt>
                <c:pt idx="20">
                  <c:v>104.72375828223019</c:v>
                </c:pt>
                <c:pt idx="21">
                  <c:v>104.22109844172506</c:v>
                </c:pt>
                <c:pt idx="22">
                  <c:v>103.72787048541602</c:v>
                </c:pt>
                <c:pt idx="23">
                  <c:v>103.24308986549833</c:v>
                </c:pt>
                <c:pt idx="24">
                  <c:v>102.76577086419238</c:v>
                </c:pt>
                <c:pt idx="25">
                  <c:v>102.29488155779615</c:v>
                </c:pt>
                <c:pt idx="26">
                  <c:v>101.82938992399244</c:v>
                </c:pt>
                <c:pt idx="27">
                  <c:v>101.3682299444238</c:v>
                </c:pt>
                <c:pt idx="28">
                  <c:v>100.91033591910457</c:v>
                </c:pt>
                <c:pt idx="29">
                  <c:v>100.45462134595324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95-4595-A69B-B4B39268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'4 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'4 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290.36855735593133</c:v>
                </c:pt>
                <c:pt idx="2">
                  <c:v>280.80202719846966</c:v>
                </c:pt>
                <c:pt idx="3">
                  <c:v>271.23549704100805</c:v>
                </c:pt>
                <c:pt idx="4">
                  <c:v>261.86084573762616</c:v>
                </c:pt>
                <c:pt idx="5">
                  <c:v>252.48619443424428</c:v>
                </c:pt>
                <c:pt idx="6">
                  <c:v>243.4219412087196</c:v>
                </c:pt>
                <c:pt idx="7">
                  <c:v>234.35768798319495</c:v>
                </c:pt>
                <c:pt idx="8">
                  <c:v>225.70869612786711</c:v>
                </c:pt>
                <c:pt idx="9">
                  <c:v>217.05970427253925</c:v>
                </c:pt>
                <c:pt idx="10">
                  <c:v>208.91258476230144</c:v>
                </c:pt>
                <c:pt idx="11">
                  <c:v>200.76546525206351</c:v>
                </c:pt>
                <c:pt idx="12">
                  <c:v>193.18479595332246</c:v>
                </c:pt>
                <c:pt idx="13">
                  <c:v>185.60412665458131</c:v>
                </c:pt>
                <c:pt idx="14">
                  <c:v>178.62965158451033</c:v>
                </c:pt>
                <c:pt idx="15">
                  <c:v>171.65517651443929</c:v>
                </c:pt>
                <c:pt idx="16">
                  <c:v>165.30010381633161</c:v>
                </c:pt>
                <c:pt idx="17">
                  <c:v>158.94503111822382</c:v>
                </c:pt>
                <c:pt idx="18">
                  <c:v>153.19549809018022</c:v>
                </c:pt>
                <c:pt idx="19">
                  <c:v>147.44596506213654</c:v>
                </c:pt>
                <c:pt idx="20">
                  <c:v>142.26168630750715</c:v>
                </c:pt>
                <c:pt idx="21">
                  <c:v>137.07740755287767</c:v>
                </c:pt>
                <c:pt idx="22">
                  <c:v>132.39347061433836</c:v>
                </c:pt>
                <c:pt idx="23">
                  <c:v>127.70953367579901</c:v>
                </c:pt>
                <c:pt idx="24">
                  <c:v>123.43925762990781</c:v>
                </c:pt>
                <c:pt idx="25">
                  <c:v>119.16898158401656</c:v>
                </c:pt>
                <c:pt idx="26">
                  <c:v>115.20770992699312</c:v>
                </c:pt>
                <c:pt idx="27">
                  <c:v>111.24643826996959</c:v>
                </c:pt>
                <c:pt idx="28">
                  <c:v>107.47609954808317</c:v>
                </c:pt>
                <c:pt idx="29">
                  <c:v>103.70576082619669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4D-4AEB-9139-42397A14B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57150</xdr:rowOff>
        </xdr:from>
        <xdr:to>
          <xdr:col>4</xdr:col>
          <xdr:colOff>0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988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988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1430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1430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15</xdr:row>
          <xdr:rowOff>152400</xdr:rowOff>
        </xdr:from>
        <xdr:to>
          <xdr:col>3</xdr:col>
          <xdr:colOff>523875</xdr:colOff>
          <xdr:row>19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 решения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988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988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1430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1430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15</xdr:row>
          <xdr:rowOff>152400</xdr:rowOff>
        </xdr:from>
        <xdr:to>
          <xdr:col>3</xdr:col>
          <xdr:colOff>523875</xdr:colOff>
          <xdr:row>19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 решения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step/Downloads/MSS_1_Chukhmanov%20(4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род"/>
      <sheetName val="2род"/>
      <sheetName val="3род"/>
      <sheetName val="MSS_1_Chukhmanov (4)"/>
    </sheetNames>
    <definedNames>
      <definedName name="iterat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topLeftCell="A6" zoomScale="70" zoomScaleNormal="70" workbookViewId="0">
      <selection activeCell="F20" sqref="F20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9525</xdr:colOff>
                    <xdr:row>18</xdr:row>
                    <xdr:rowOff>57150</xdr:rowOff>
                  </from>
                  <to>
                    <xdr:col>4</xdr:col>
                    <xdr:colOff>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N14"/>
  <sheetViews>
    <sheetView zoomScale="70" zoomScaleNormal="70" workbookViewId="0">
      <selection activeCell="F11" sqref="F11"/>
    </sheetView>
  </sheetViews>
  <sheetFormatPr defaultRowHeight="15" x14ac:dyDescent="0.25"/>
  <cols>
    <col min="6" max="6" width="10.28515625" bestFit="1" customWidth="1"/>
    <col min="7" max="7" width="12.140625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1000</v>
      </c>
      <c r="D5">
        <v>1000.4333333333333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300</v>
      </c>
      <c r="E11" t="s">
        <v>9</v>
      </c>
      <c r="F11">
        <f>(C14*C3*C11+C9*G11)/(C3*C14+C9)</f>
        <v>117.90322154365064</v>
      </c>
      <c r="G11">
        <v>117.07191016374124</v>
      </c>
      <c r="H11">
        <v>116.26008853656475</v>
      </c>
      <c r="I11">
        <v>115.46778233946264</v>
      </c>
      <c r="J11">
        <v>114.69496142404105</v>
      </c>
      <c r="K11">
        <v>113.94152570375303</v>
      </c>
      <c r="L11">
        <v>113.20732657253386</v>
      </c>
      <c r="M11">
        <v>112.49213960697028</v>
      </c>
      <c r="N11">
        <v>111.79569937783657</v>
      </c>
      <c r="O11">
        <v>111.11766021636133</v>
      </c>
      <c r="P11">
        <v>110.45764286764161</v>
      </c>
      <c r="Q11">
        <v>109.81518512217514</v>
      </c>
      <c r="R11">
        <v>109.189798237118</v>
      </c>
      <c r="S11">
        <v>108.58090970415985</v>
      </c>
      <c r="T11">
        <v>107.98792693487503</v>
      </c>
      <c r="U11">
        <v>107.41017480279598</v>
      </c>
      <c r="V11">
        <v>106.84696377196019</v>
      </c>
      <c r="W11">
        <v>106.29752509796486</v>
      </c>
      <c r="X11">
        <v>105.76108038842628</v>
      </c>
      <c r="Y11">
        <v>105.23677746358254</v>
      </c>
      <c r="Z11">
        <v>104.72375828223019</v>
      </c>
      <c r="AA11">
        <v>104.22109844172506</v>
      </c>
      <c r="AB11">
        <v>103.72787048541602</v>
      </c>
      <c r="AC11">
        <v>103.24308986549833</v>
      </c>
      <c r="AD11">
        <v>102.76577086419238</v>
      </c>
      <c r="AE11">
        <v>102.29488155779615</v>
      </c>
      <c r="AF11">
        <v>101.82938992399244</v>
      </c>
      <c r="AG11">
        <v>101.3682299444238</v>
      </c>
      <c r="AH11">
        <v>100.91033591910457</v>
      </c>
      <c r="AI11">
        <v>100.45462134595324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117.08165504010771</v>
      </c>
      <c r="H13">
        <f t="shared" ref="H13:AI13" si="1">H11+(($C$9*$C$4)/($C$8*$C$7))*((I11-2*H11+G11)/($C$3^2))</f>
        <v>116.26984625160193</v>
      </c>
      <c r="I13">
        <f t="shared" si="1"/>
        <v>115.4775249803029</v>
      </c>
      <c r="J13">
        <f t="shared" si="1"/>
        <v>114.70465402160784</v>
      </c>
      <c r="K13">
        <f t="shared" si="1"/>
        <v>113.95114399828745</v>
      </c>
      <c r="L13">
        <f t="shared" si="1"/>
        <v>113.21683265536166</v>
      </c>
      <c r="M13">
        <f t="shared" si="1"/>
        <v>112.50151297518522</v>
      </c>
      <c r="N13">
        <f t="shared" si="1"/>
        <v>111.80489991166581</v>
      </c>
      <c r="O13">
        <f t="shared" si="1"/>
        <v>111.12667112273908</v>
      </c>
      <c r="P13">
        <f t="shared" si="1"/>
        <v>110.46642266926824</v>
      </c>
      <c r="Q13">
        <f t="shared" si="1"/>
        <v>109.8237205523798</v>
      </c>
      <c r="R13">
        <f t="shared" si="1"/>
        <v>109.1980474131675</v>
      </c>
      <c r="S13">
        <f t="shared" si="1"/>
        <v>108.58886258599651</v>
      </c>
      <c r="T13">
        <f t="shared" si="1"/>
        <v>107.99554225347791</v>
      </c>
      <c r="U13">
        <f t="shared" si="1"/>
        <v>107.41744535341761</v>
      </c>
      <c r="V13">
        <f t="shared" si="1"/>
        <v>106.85384995038042</v>
      </c>
      <c r="W13">
        <f t="shared" si="1"/>
        <v>106.30402208019323</v>
      </c>
      <c r="X13">
        <f t="shared" si="1"/>
        <v>105.7671512807737</v>
      </c>
      <c r="Y13">
        <f t="shared" si="1"/>
        <v>105.24241933532824</v>
      </c>
      <c r="Z13">
        <f t="shared" si="1"/>
        <v>104.72893795265381</v>
      </c>
      <c r="AA13">
        <f t="shared" si="1"/>
        <v>104.22581438382311</v>
      </c>
      <c r="AB13">
        <f t="shared" si="1"/>
        <v>103.7320941536117</v>
      </c>
      <c r="AC13">
        <f t="shared" si="1"/>
        <v>103.2468206748042</v>
      </c>
      <c r="AD13">
        <f t="shared" si="1"/>
        <v>102.76898571164725</v>
      </c>
      <c r="AE13">
        <f t="shared" si="1"/>
        <v>102.29758039409241</v>
      </c>
      <c r="AF13">
        <f t="shared" si="1"/>
        <v>101.83155575110997</v>
      </c>
      <c r="AG13">
        <f t="shared" si="1"/>
        <v>101.3698629215485</v>
      </c>
      <c r="AH13">
        <f t="shared" si="1"/>
        <v>100.91142564518853</v>
      </c>
      <c r="AI13">
        <f t="shared" si="1"/>
        <v>100.45516795955228</v>
      </c>
    </row>
    <row r="14" spans="2:40" x14ac:dyDescent="0.25">
      <c r="B14" s="1" t="s">
        <v>14</v>
      </c>
      <c r="C14" s="1">
        <v>63</v>
      </c>
      <c r="E14" t="s">
        <v>11</v>
      </c>
      <c r="G14">
        <f>-$C$9*((G11-F11)/$C$3)</f>
        <v>11472.097042749832</v>
      </c>
      <c r="H14">
        <f t="shared" ref="H14:AI14" si="2">-$C$9*((H11-G11)/$C$3)</f>
        <v>11203.138455035492</v>
      </c>
      <c r="I14">
        <f t="shared" si="2"/>
        <v>10933.825520009075</v>
      </c>
      <c r="J14">
        <f t="shared" si="2"/>
        <v>10664.928632817946</v>
      </c>
      <c r="K14">
        <f t="shared" si="2"/>
        <v>10397.412939974736</v>
      </c>
      <c r="L14">
        <f t="shared" si="2"/>
        <v>10131.948010824559</v>
      </c>
      <c r="M14">
        <f t="shared" si="2"/>
        <v>9869.5801247773343</v>
      </c>
      <c r="N14">
        <f t="shared" si="2"/>
        <v>9610.8751620452495</v>
      </c>
      <c r="O14">
        <f t="shared" si="2"/>
        <v>9356.9404283583171</v>
      </c>
      <c r="P14">
        <f t="shared" si="2"/>
        <v>9108.2394123321301</v>
      </c>
      <c r="Q14">
        <f t="shared" si="2"/>
        <v>8865.9168874373245</v>
      </c>
      <c r="R14">
        <f t="shared" si="2"/>
        <v>8630.3390137885235</v>
      </c>
      <c r="S14">
        <f t="shared" si="2"/>
        <v>8402.6617548224331</v>
      </c>
      <c r="T14">
        <f t="shared" si="2"/>
        <v>8183.1622161304667</v>
      </c>
      <c r="U14">
        <f t="shared" si="2"/>
        <v>7972.9794226909662</v>
      </c>
      <c r="V14">
        <f t="shared" si="2"/>
        <v>7772.3122255338749</v>
      </c>
      <c r="W14">
        <f t="shared" si="2"/>
        <v>7582.2537011354943</v>
      </c>
      <c r="X14">
        <f t="shared" si="2"/>
        <v>7402.9369916324813</v>
      </c>
      <c r="Y14">
        <f t="shared" si="2"/>
        <v>7235.3803628435853</v>
      </c>
      <c r="Z14">
        <f t="shared" si="2"/>
        <v>7079.6647026624041</v>
      </c>
      <c r="AA14">
        <f t="shared" si="2"/>
        <v>6936.7057989708173</v>
      </c>
      <c r="AB14">
        <f t="shared" si="2"/>
        <v>6806.5457970647767</v>
      </c>
      <c r="AC14">
        <f t="shared" si="2"/>
        <v>6689.9725548640645</v>
      </c>
      <c r="AD14">
        <f t="shared" si="2"/>
        <v>6587.0022180222149</v>
      </c>
      <c r="AE14">
        <f t="shared" si="2"/>
        <v>6498.2724282679837</v>
      </c>
      <c r="AF14">
        <f t="shared" si="2"/>
        <v>6423.7845464911743</v>
      </c>
      <c r="AG14">
        <f t="shared" si="2"/>
        <v>6364.0077180471562</v>
      </c>
      <c r="AH14">
        <f t="shared" si="2"/>
        <v>6318.9375494054329</v>
      </c>
      <c r="AI14">
        <f t="shared" si="2"/>
        <v>6288.8611094882972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iterat">
                <anchor moveWithCells="1" sizeWithCells="1">
                  <from>
                    <xdr:col>1</xdr:col>
                    <xdr:colOff>266700</xdr:colOff>
                    <xdr:row>15</xdr:row>
                    <xdr:rowOff>152400</xdr:rowOff>
                  </from>
                  <to>
                    <xdr:col>3</xdr:col>
                    <xdr:colOff>523875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AN14"/>
  <sheetViews>
    <sheetView tabSelected="1" zoomScale="70" zoomScaleNormal="70" workbookViewId="0">
      <selection activeCell="N18" sqref="N18"/>
    </sheetView>
  </sheetViews>
  <sheetFormatPr defaultRowHeight="15" x14ac:dyDescent="0.25"/>
  <cols>
    <col min="2" max="2" width="12" customWidth="1"/>
    <col min="6" max="6" width="10.28515625" bestFit="1" customWidth="1"/>
    <col min="7" max="7" width="12.140625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400</v>
      </c>
      <c r="D5">
        <v>400.43333333333334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300</v>
      </c>
      <c r="E11" t="s">
        <v>9</v>
      </c>
      <c r="F11">
        <f>C11</f>
        <v>300</v>
      </c>
      <c r="G11">
        <v>290.36855735593133</v>
      </c>
      <c r="H11">
        <v>280.80202719846966</v>
      </c>
      <c r="I11">
        <v>271.23549704100805</v>
      </c>
      <c r="J11">
        <v>261.86084573762616</v>
      </c>
      <c r="K11">
        <v>252.48619443424428</v>
      </c>
      <c r="L11">
        <v>243.4219412087196</v>
      </c>
      <c r="M11">
        <v>234.35768798319495</v>
      </c>
      <c r="N11">
        <v>225.70869612786711</v>
      </c>
      <c r="O11">
        <v>217.05970427253925</v>
      </c>
      <c r="P11">
        <v>208.91258476230144</v>
      </c>
      <c r="Q11">
        <v>200.76546525206351</v>
      </c>
      <c r="R11">
        <v>193.18479595332246</v>
      </c>
      <c r="S11">
        <v>185.60412665458131</v>
      </c>
      <c r="T11">
        <v>178.62965158451033</v>
      </c>
      <c r="U11">
        <v>171.65517651443929</v>
      </c>
      <c r="V11">
        <v>165.30010381633161</v>
      </c>
      <c r="W11">
        <v>158.94503111822382</v>
      </c>
      <c r="X11">
        <v>153.19549809018022</v>
      </c>
      <c r="Y11">
        <v>147.44596506213654</v>
      </c>
      <c r="Z11">
        <v>142.26168630750715</v>
      </c>
      <c r="AA11">
        <v>137.07740755287767</v>
      </c>
      <c r="AB11">
        <v>132.39347061433836</v>
      </c>
      <c r="AC11">
        <v>127.70953367579901</v>
      </c>
      <c r="AD11">
        <v>123.43925762990781</v>
      </c>
      <c r="AE11">
        <v>119.16898158401656</v>
      </c>
      <c r="AF11">
        <v>115.20770992699312</v>
      </c>
      <c r="AG11">
        <v>111.24643826996959</v>
      </c>
      <c r="AH11">
        <v>107.47609954808317</v>
      </c>
      <c r="AI11">
        <v>103.70576082619669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290.40101359923483</v>
      </c>
      <c r="H13">
        <f t="shared" ref="H13:AI13" si="1">H11+(($C$9*$C$4)/($C$8*$C$7))*((I11-2*H11+G11)/($C$3^2))</f>
        <v>280.80202719846966</v>
      </c>
      <c r="I13">
        <f t="shared" si="1"/>
        <v>271.33143646804791</v>
      </c>
      <c r="J13">
        <f t="shared" si="1"/>
        <v>261.86084573762616</v>
      </c>
      <c r="K13">
        <f t="shared" si="1"/>
        <v>252.64139347317288</v>
      </c>
      <c r="L13">
        <f t="shared" si="1"/>
        <v>243.4219412087196</v>
      </c>
      <c r="M13">
        <f t="shared" si="1"/>
        <v>234.56531866829334</v>
      </c>
      <c r="N13">
        <f t="shared" si="1"/>
        <v>225.70869612786709</v>
      </c>
      <c r="O13">
        <f t="shared" si="1"/>
        <v>217.31064044508429</v>
      </c>
      <c r="P13">
        <f t="shared" si="1"/>
        <v>208.91258476230138</v>
      </c>
      <c r="Q13">
        <f t="shared" si="1"/>
        <v>201.04869035781195</v>
      </c>
      <c r="R13">
        <f t="shared" si="1"/>
        <v>193.18479595332241</v>
      </c>
      <c r="S13">
        <f t="shared" si="1"/>
        <v>185.9072237689164</v>
      </c>
      <c r="T13">
        <f t="shared" si="1"/>
        <v>178.6296515845103</v>
      </c>
      <c r="U13">
        <f t="shared" si="1"/>
        <v>171.96487770042097</v>
      </c>
      <c r="V13">
        <f t="shared" si="1"/>
        <v>165.30010381633156</v>
      </c>
      <c r="W13">
        <f t="shared" si="1"/>
        <v>159.24780095325593</v>
      </c>
      <c r="X13">
        <f t="shared" si="1"/>
        <v>153.19549809018019</v>
      </c>
      <c r="Y13">
        <f t="shared" si="1"/>
        <v>147.72859219884367</v>
      </c>
      <c r="Z13">
        <f t="shared" si="1"/>
        <v>142.26168630750709</v>
      </c>
      <c r="AA13">
        <f t="shared" si="1"/>
        <v>137.32757846092275</v>
      </c>
      <c r="AB13">
        <f t="shared" si="1"/>
        <v>132.39347061433836</v>
      </c>
      <c r="AC13">
        <f t="shared" si="1"/>
        <v>127.91636412212308</v>
      </c>
      <c r="AD13">
        <f t="shared" si="1"/>
        <v>123.43925762990779</v>
      </c>
      <c r="AE13">
        <f t="shared" si="1"/>
        <v>119.32348377845047</v>
      </c>
      <c r="AF13">
        <f t="shared" si="1"/>
        <v>115.20770992699308</v>
      </c>
      <c r="AG13">
        <f t="shared" si="1"/>
        <v>111.34190473753814</v>
      </c>
      <c r="AH13">
        <f t="shared" si="1"/>
        <v>107.47609954808314</v>
      </c>
      <c r="AI13">
        <f t="shared" si="1"/>
        <v>103.73804977404158</v>
      </c>
    </row>
    <row r="14" spans="2:40" x14ac:dyDescent="0.25">
      <c r="B14" s="1" t="s">
        <v>15</v>
      </c>
      <c r="C14" s="1">
        <v>2.5000000000000001E-2</v>
      </c>
      <c r="E14" t="s">
        <v>11</v>
      </c>
      <c r="G14">
        <f>-$C$9*((G11-F11)/$C$3)</f>
        <v>132913.90848814766</v>
      </c>
      <c r="H14">
        <f t="shared" ref="H14:AI14" si="2">-$C$9*((H11-G11)/$C$3)</f>
        <v>132018.11617297106</v>
      </c>
      <c r="I14">
        <f t="shared" si="2"/>
        <v>132018.11617297027</v>
      </c>
      <c r="J14">
        <f t="shared" si="2"/>
        <v>129370.18798666996</v>
      </c>
      <c r="K14">
        <f t="shared" si="2"/>
        <v>129370.18798666996</v>
      </c>
      <c r="L14">
        <f t="shared" si="2"/>
        <v>125086.69451224059</v>
      </c>
      <c r="M14">
        <f t="shared" si="2"/>
        <v>125086.6945122402</v>
      </c>
      <c r="N14">
        <f t="shared" si="2"/>
        <v>119356.08760352414</v>
      </c>
      <c r="O14">
        <f t="shared" si="2"/>
        <v>119356.08760352452</v>
      </c>
      <c r="P14">
        <f t="shared" si="2"/>
        <v>112430.24924128182</v>
      </c>
      <c r="Q14">
        <f t="shared" si="2"/>
        <v>112430.2492412834</v>
      </c>
      <c r="R14">
        <f t="shared" si="2"/>
        <v>104613.23632262638</v>
      </c>
      <c r="S14">
        <f t="shared" si="2"/>
        <v>104613.23632262796</v>
      </c>
      <c r="T14">
        <f t="shared" si="2"/>
        <v>96247.75596697953</v>
      </c>
      <c r="U14">
        <f t="shared" si="2"/>
        <v>96247.755966980301</v>
      </c>
      <c r="V14">
        <f t="shared" si="2"/>
        <v>87700.003233885916</v>
      </c>
      <c r="W14">
        <f t="shared" si="2"/>
        <v>87700.003233887488</v>
      </c>
      <c r="X14">
        <f t="shared" si="2"/>
        <v>79343.555787001678</v>
      </c>
      <c r="Y14">
        <f t="shared" si="2"/>
        <v>79343.555787002872</v>
      </c>
      <c r="Z14">
        <f t="shared" si="2"/>
        <v>71543.046813885565</v>
      </c>
      <c r="AA14">
        <f t="shared" si="2"/>
        <v>71543.046813886744</v>
      </c>
      <c r="AB14">
        <f t="shared" si="2"/>
        <v>64638.329751842597</v>
      </c>
      <c r="AC14">
        <f t="shared" si="2"/>
        <v>64638.329751842983</v>
      </c>
      <c r="AD14">
        <f t="shared" si="2"/>
        <v>58929.809433298477</v>
      </c>
      <c r="AE14">
        <f t="shared" si="2"/>
        <v>58929.809433299262</v>
      </c>
      <c r="AF14">
        <f t="shared" si="2"/>
        <v>54665.548866923542</v>
      </c>
      <c r="AG14">
        <f t="shared" si="2"/>
        <v>54665.548866924721</v>
      </c>
      <c r="AH14">
        <f t="shared" si="2"/>
        <v>52030.674362032565</v>
      </c>
      <c r="AI14">
        <f t="shared" si="2"/>
        <v>52030.674362033344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1]!iterat">
                <anchor moveWithCells="1" sizeWithCells="1">
                  <from>
                    <xdr:col>1</xdr:col>
                    <xdr:colOff>266700</xdr:colOff>
                    <xdr:row>15</xdr:row>
                    <xdr:rowOff>152400</xdr:rowOff>
                  </from>
                  <to>
                    <xdr:col>3</xdr:col>
                    <xdr:colOff>523875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1род</vt:lpstr>
      <vt:lpstr>2род</vt:lpstr>
      <vt:lpstr>3 род</vt:lpstr>
      <vt:lpstr>4 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2021-05-23T07:45:37Z</dcterms:modified>
</cp:coreProperties>
</file>
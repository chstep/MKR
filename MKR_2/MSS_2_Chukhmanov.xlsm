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step\Desktop\МСС\MKR_2\"/>
    </mc:Choice>
  </mc:AlternateContent>
  <bookViews>
    <workbookView xWindow="0" yWindow="0" windowWidth="15510" windowHeight="9600" activeTab="3"/>
  </bookViews>
  <sheets>
    <sheet name="1род" sheetId="1" r:id="rId1"/>
    <sheet name="2род" sheetId="2" r:id="rId2"/>
    <sheet name="1Неявн" sheetId="4" r:id="rId3"/>
    <sheet name="2Неявн" sheetId="5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5" l="1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H13" i="2" l="1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H15" i="5" l="1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I14" i="5"/>
  <c r="F11" i="5"/>
  <c r="F15" i="5" l="1"/>
  <c r="G14" i="5"/>
  <c r="C18" i="5"/>
  <c r="G16" i="5"/>
  <c r="F17" i="5" l="1"/>
  <c r="F14" i="5"/>
  <c r="AJ11" i="5"/>
  <c r="AJ13" i="5" s="1"/>
  <c r="C3" i="5"/>
  <c r="C17" i="5" s="1"/>
  <c r="C19" i="5" l="1"/>
  <c r="G10" i="5"/>
  <c r="H10" i="5" s="1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AC10" i="5" s="1"/>
  <c r="AD10" i="5" s="1"/>
  <c r="AE10" i="5" s="1"/>
  <c r="AF10" i="5" s="1"/>
  <c r="AG10" i="5" s="1"/>
  <c r="AH10" i="5" s="1"/>
  <c r="AI10" i="5" s="1"/>
  <c r="AJ10" i="5" s="1"/>
  <c r="G17" i="5" l="1"/>
  <c r="H17" i="5" s="1"/>
  <c r="H16" i="5"/>
  <c r="I17" i="5" l="1"/>
  <c r="I16" i="5"/>
  <c r="J17" i="5" l="1"/>
  <c r="J16" i="5"/>
  <c r="K17" i="5" l="1"/>
  <c r="K16" i="5"/>
  <c r="L17" i="5" l="1"/>
  <c r="L16" i="5"/>
  <c r="M17" i="5" l="1"/>
  <c r="M16" i="5"/>
  <c r="N17" i="5" l="1"/>
  <c r="N16" i="5"/>
  <c r="O17" i="5" l="1"/>
  <c r="O16" i="5"/>
  <c r="P17" i="5" l="1"/>
  <c r="P16" i="5"/>
  <c r="Q17" i="5" l="1"/>
  <c r="Q16" i="5"/>
  <c r="R17" i="5" l="1"/>
  <c r="R16" i="5"/>
  <c r="S17" i="5" l="1"/>
  <c r="S16" i="5"/>
  <c r="T17" i="5" l="1"/>
  <c r="T16" i="5"/>
  <c r="U17" i="5" l="1"/>
  <c r="U16" i="5"/>
  <c r="V17" i="5" l="1"/>
  <c r="V16" i="5"/>
  <c r="W17" i="5" l="1"/>
  <c r="W16" i="5"/>
  <c r="X17" i="5" l="1"/>
  <c r="X16" i="5"/>
  <c r="Y17" i="5" l="1"/>
  <c r="Y16" i="5"/>
  <c r="Z17" i="5" l="1"/>
  <c r="Z16" i="5"/>
  <c r="AA17" i="5" l="1"/>
  <c r="AA16" i="5"/>
  <c r="AB17" i="5" l="1"/>
  <c r="AB16" i="5"/>
  <c r="AC17" i="5" l="1"/>
  <c r="AC16" i="5"/>
  <c r="AD17" i="5" l="1"/>
  <c r="AD16" i="5"/>
  <c r="AE17" i="5" l="1"/>
  <c r="AE16" i="5"/>
  <c r="AF17" i="5" l="1"/>
  <c r="AF16" i="5"/>
  <c r="AG17" i="5" l="1"/>
  <c r="AG16" i="5"/>
  <c r="AH17" i="5" l="1"/>
  <c r="AH16" i="5"/>
  <c r="AI17" i="5" l="1"/>
  <c r="AI16" i="5"/>
  <c r="AJ17" i="5" l="1"/>
  <c r="AJ16" i="5"/>
  <c r="AI13" i="5"/>
  <c r="AH13" i="5" s="1"/>
  <c r="AG13" i="5" s="1"/>
  <c r="AF13" i="5" s="1"/>
  <c r="AE13" i="5" s="1"/>
  <c r="AD13" i="5" s="1"/>
  <c r="AC13" i="5" s="1"/>
  <c r="AB13" i="5" s="1"/>
  <c r="AA13" i="5" s="1"/>
  <c r="Z13" i="5" s="1"/>
  <c r="Y13" i="5" s="1"/>
  <c r="X13" i="5" s="1"/>
  <c r="W13" i="5" s="1"/>
  <c r="V13" i="5" s="1"/>
  <c r="U13" i="5" s="1"/>
  <c r="T13" i="5" s="1"/>
  <c r="S13" i="5" s="1"/>
  <c r="R13" i="5" s="1"/>
  <c r="Q13" i="5" s="1"/>
  <c r="P13" i="5" s="1"/>
  <c r="O13" i="5" s="1"/>
  <c r="N13" i="5" s="1"/>
  <c r="M13" i="5" s="1"/>
  <c r="L13" i="5" s="1"/>
  <c r="K13" i="5" s="1"/>
  <c r="J13" i="5" s="1"/>
  <c r="I13" i="5" s="1"/>
  <c r="H13" i="5" s="1"/>
  <c r="G13" i="5" s="1"/>
  <c r="G13" i="1" l="1"/>
  <c r="Z13" i="1"/>
  <c r="I13" i="1"/>
  <c r="H13" i="1"/>
  <c r="C4" i="1" l="1"/>
  <c r="C4" i="2"/>
  <c r="G17" i="4"/>
  <c r="G15" i="4"/>
  <c r="G19" i="4" s="1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3" i="4"/>
  <c r="H17" i="4"/>
  <c r="I17" i="4" s="1"/>
  <c r="F19" i="4"/>
  <c r="C18" i="4"/>
  <c r="J17" i="4" s="1"/>
  <c r="C19" i="4"/>
  <c r="C17" i="4"/>
  <c r="AJ11" i="4"/>
  <c r="F11" i="4"/>
  <c r="C3" i="4"/>
  <c r="K17" i="4" l="1"/>
  <c r="L17" i="4" s="1"/>
  <c r="M17" i="4" s="1"/>
  <c r="N17" i="4" s="1"/>
  <c r="O17" i="4" s="1"/>
  <c r="P17" i="4" s="1"/>
  <c r="Q17" i="4" s="1"/>
  <c r="R17" i="4" s="1"/>
  <c r="S17" i="4" s="1"/>
  <c r="T17" i="4" s="1"/>
  <c r="U17" i="4" s="1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AF17" i="4" s="1"/>
  <c r="AG17" i="4" s="1"/>
  <c r="AH17" i="4" s="1"/>
  <c r="AI17" i="4" s="1"/>
  <c r="H19" i="4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G10" i="4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H14" i="2" l="1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F11" i="2" l="1"/>
  <c r="G13" i="2" s="1"/>
  <c r="F14" i="2"/>
  <c r="AJ11" i="2"/>
  <c r="C3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AA13" i="1"/>
  <c r="AB13" i="1"/>
  <c r="AC13" i="1"/>
  <c r="AD13" i="1"/>
  <c r="AE13" i="1"/>
  <c r="AF13" i="1"/>
  <c r="AG13" i="1"/>
  <c r="AH13" i="1"/>
  <c r="AI13" i="1"/>
  <c r="AJ11" i="1"/>
  <c r="F11" i="1"/>
  <c r="AA10" i="1"/>
  <c r="AB10" i="1"/>
  <c r="AC10" i="1" s="1"/>
  <c r="AD10" i="1" s="1"/>
  <c r="AE10" i="1" s="1"/>
  <c r="AF10" i="1" s="1"/>
  <c r="AG10" i="1" s="1"/>
  <c r="AH10" i="1" s="1"/>
  <c r="AI10" i="1" s="1"/>
  <c r="AJ10" i="1" s="1"/>
  <c r="H10" i="1"/>
  <c r="I10" i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G10" i="1"/>
  <c r="C3" i="1"/>
  <c r="G14" i="2" l="1"/>
  <c r="AI19" i="4"/>
  <c r="AI13" i="4" s="1"/>
  <c r="AH13" i="4" s="1"/>
  <c r="AG13" i="4" s="1"/>
  <c r="AF13" i="4" s="1"/>
  <c r="AE13" i="4" s="1"/>
  <c r="AD13" i="4" s="1"/>
  <c r="AC13" i="4" s="1"/>
  <c r="AB13" i="4" s="1"/>
  <c r="AA13" i="4" s="1"/>
  <c r="Z13" i="4" s="1"/>
  <c r="Y13" i="4" s="1"/>
  <c r="X13" i="4" s="1"/>
  <c r="W13" i="4" s="1"/>
  <c r="V13" i="4" s="1"/>
  <c r="U13" i="4" s="1"/>
  <c r="T13" i="4" s="1"/>
  <c r="S13" i="4" s="1"/>
  <c r="R13" i="4" s="1"/>
  <c r="Q13" i="4" s="1"/>
  <c r="P13" i="4" s="1"/>
  <c r="O13" i="4" s="1"/>
  <c r="N13" i="4" s="1"/>
  <c r="M13" i="4" s="1"/>
  <c r="L13" i="4" s="1"/>
  <c r="K13" i="4" s="1"/>
  <c r="J13" i="4" s="1"/>
  <c r="I13" i="4" s="1"/>
  <c r="H13" i="4" s="1"/>
  <c r="G13" i="4" s="1"/>
</calcChain>
</file>

<file path=xl/sharedStrings.xml><?xml version="1.0" encoding="utf-8"?>
<sst xmlns="http://schemas.openxmlformats.org/spreadsheetml/2006/main" count="63" uniqueCount="20">
  <si>
    <t>L</t>
  </si>
  <si>
    <t>dx</t>
  </si>
  <si>
    <t>dt</t>
  </si>
  <si>
    <t>t</t>
  </si>
  <si>
    <t>Cp</t>
  </si>
  <si>
    <t>ro</t>
  </si>
  <si>
    <t>lambda</t>
  </si>
  <si>
    <t>T_start</t>
  </si>
  <si>
    <t>T_end</t>
  </si>
  <si>
    <t>T</t>
  </si>
  <si>
    <t>T_i</t>
  </si>
  <si>
    <t>q</t>
  </si>
  <si>
    <t>q_start</t>
  </si>
  <si>
    <t>A</t>
  </si>
  <si>
    <t>B</t>
  </si>
  <si>
    <t>C</t>
  </si>
  <si>
    <t>F_i</t>
  </si>
  <si>
    <t>alpha_i</t>
  </si>
  <si>
    <t>beta_i</t>
  </si>
  <si>
    <t>T(n+1)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</si>
</sst>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5B-4991-B09E-2EEDF3AA1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'2род'!$F$11:$AJ$11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A-4F4F-B36A-C52F805C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tx>
            <c:v>Неявная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'1Неявн'!$F$10:$AJ$10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'1Неявн'!$F$11:$AJ$11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280.08693913290779</c:v>
                </c:pt>
                <c:pt idx="2">
                  <c:v>260.34528884307156</c:v>
                </c:pt>
                <c:pt idx="3">
                  <c:v>240.94322870396985</c:v>
                </c:pt>
                <c:pt idx="4">
                  <c:v>222.04259121089365</c:v>
                </c:pt>
                <c:pt idx="5">
                  <c:v>203.79596876432669</c:v>
                </c:pt>
                <c:pt idx="6">
                  <c:v>186.34413876917304</c:v>
                </c:pt>
                <c:pt idx="7">
                  <c:v>169.81388358198302</c:v>
                </c:pt>
                <c:pt idx="8">
                  <c:v>154.31625985996357</c:v>
                </c:pt>
                <c:pt idx="9">
                  <c:v>139.94534749959706</c:v>
                </c:pt>
                <c:pt idx="10">
                  <c:v>126.77748357718193</c:v>
                </c:pt>
                <c:pt idx="11">
                  <c:v>114.87096325508222</c:v>
                </c:pt>
                <c:pt idx="12">
                  <c:v>104.26616904525903</c:v>
                </c:pt>
                <c:pt idx="13">
                  <c:v>94.986073365012174</c:v>
                </c:pt>
                <c:pt idx="14">
                  <c:v>87.037047818685082</c:v>
                </c:pt>
                <c:pt idx="15">
                  <c:v>80.409906485303551</c:v>
                </c:pt>
                <c:pt idx="16">
                  <c:v>75.081109624202284</c:v>
                </c:pt>
                <c:pt idx="17">
                  <c:v>71.014058149603102</c:v>
                </c:pt>
                <c:pt idx="18">
                  <c:v>68.160417145848228</c:v>
                </c:pt>
                <c:pt idx="19">
                  <c:v>66.461417524955024</c:v>
                </c:pt>
                <c:pt idx="20">
                  <c:v>65.849097461429992</c:v>
                </c:pt>
                <c:pt idx="21">
                  <c:v>66.247458255201138</c:v>
                </c:pt>
                <c:pt idx="22">
                  <c:v>67.573521648220535</c:v>
                </c:pt>
                <c:pt idx="23">
                  <c:v>69.738286421168482</c:v>
                </c:pt>
                <c:pt idx="24">
                  <c:v>72.64759065221422</c:v>
                </c:pt>
                <c:pt idx="25">
                  <c:v>76.202891959402834</c:v>
                </c:pt>
                <c:pt idx="26">
                  <c:v>80.30198131052552</c:v>
                </c:pt>
                <c:pt idx="27">
                  <c:v>84.839646794335664</c:v>
                </c:pt>
                <c:pt idx="28">
                  <c:v>89.708302566510568</c:v>
                </c:pt>
                <c:pt idx="29">
                  <c:v>94.798595640746925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6-494E-80E8-6E1EF26F1283}"/>
            </c:ext>
          </c:extLst>
        </c:ser>
        <c:ser>
          <c:idx val="1"/>
          <c:order val="1"/>
          <c:tx>
            <c:v>явная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6-494E-80E8-6E1EF26F1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tx>
            <c:v>Неявная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'2Неявн'!$F$10:$AJ$10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'2Неявн'!$F$11:$AJ$11</c:f>
              <c:numCache>
                <c:formatCode>General</c:formatCode>
                <c:ptCount val="31"/>
                <c:pt idx="0">
                  <c:v>299.99993926179997</c:v>
                </c:pt>
                <c:pt idx="1">
                  <c:v>293.33327259513328</c:v>
                </c:pt>
                <c:pt idx="2">
                  <c:v>286.66660627198729</c:v>
                </c:pt>
                <c:pt idx="3">
                  <c:v>279.99994010743097</c:v>
                </c:pt>
                <c:pt idx="4">
                  <c:v>273.33327410014584</c:v>
                </c:pt>
                <c:pt idx="5">
                  <c:v>266.66660824840051</c:v>
                </c:pt>
                <c:pt idx="6">
                  <c:v>259.9999425500551</c:v>
                </c:pt>
                <c:pt idx="7">
                  <c:v>253.33327700256672</c:v>
                </c:pt>
                <c:pt idx="8">
                  <c:v>246.66661160299662</c:v>
                </c:pt>
                <c:pt idx="9">
                  <c:v>239.99994634801763</c:v>
                </c:pt>
                <c:pt idx="10">
                  <c:v>233.33328123392272</c:v>
                </c:pt>
                <c:pt idx="11">
                  <c:v>226.66661625663511</c:v>
                </c:pt>
                <c:pt idx="12">
                  <c:v>219.99995141171857</c:v>
                </c:pt>
                <c:pt idx="13">
                  <c:v>213.33328669438953</c:v>
                </c:pt>
                <c:pt idx="14">
                  <c:v>206.66662209952915</c:v>
                </c:pt>
                <c:pt idx="15">
                  <c:v>199.99995762169715</c:v>
                </c:pt>
                <c:pt idx="16">
                  <c:v>193.3332932551458</c:v>
                </c:pt>
                <c:pt idx="17">
                  <c:v>186.66662899383539</c:v>
                </c:pt>
                <c:pt idx="18">
                  <c:v>179.99996483144957</c:v>
                </c:pt>
                <c:pt idx="19">
                  <c:v>173.33330076141254</c:v>
                </c:pt>
                <c:pt idx="20">
                  <c:v>166.66663677690573</c:v>
                </c:pt>
                <c:pt idx="21">
                  <c:v>159.99997287088607</c:v>
                </c:pt>
                <c:pt idx="22">
                  <c:v>153.33330903610445</c:v>
                </c:pt>
                <c:pt idx="23">
                  <c:v>146.66664526512469</c:v>
                </c:pt>
                <c:pt idx="24">
                  <c:v>139.99998155034302</c:v>
                </c:pt>
                <c:pt idx="25">
                  <c:v>133.33331788400815</c:v>
                </c:pt>
                <c:pt idx="26">
                  <c:v>126.66665425824152</c:v>
                </c:pt>
                <c:pt idx="27">
                  <c:v>119.99999066505806</c:v>
                </c:pt>
                <c:pt idx="28">
                  <c:v>113.33332709638717</c:v>
                </c:pt>
                <c:pt idx="29">
                  <c:v>106.66666354409381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1B-461C-A0B2-275EE2DABC0E}"/>
            </c:ext>
          </c:extLst>
        </c:ser>
        <c:ser>
          <c:idx val="1"/>
          <c:order val="1"/>
          <c:tx>
            <c:v>явная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'2род'!$F$11:$AJ$11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1B-461C-A0B2-275EE2DAB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'1род'!$F$11:$AJ$11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300</c:v>
                      </c:pt>
                      <c:pt idx="1">
                        <c:v>280.34602914679897</c:v>
                      </c:pt>
                      <c:pt idx="2">
                        <c:v>260.69205829359794</c:v>
                      </c:pt>
                      <c:pt idx="3">
                        <c:v>241.69187227593491</c:v>
                      </c:pt>
                      <c:pt idx="4">
                        <c:v>222.69168625827183</c:v>
                      </c:pt>
                      <c:pt idx="5">
                        <c:v>204.95390631913148</c:v>
                      </c:pt>
                      <c:pt idx="6">
                        <c:v>187.21612637999107</c:v>
                      </c:pt>
                      <c:pt idx="7">
                        <c:v>171.26453784334268</c:v>
                      </c:pt>
                      <c:pt idx="8">
                        <c:v>155.31294930669429</c:v>
                      </c:pt>
                      <c:pt idx="9">
                        <c:v>141.55671337374599</c:v>
                      </c:pt>
                      <c:pt idx="10">
                        <c:v>127.80047744079765</c:v>
                      </c:pt>
                      <c:pt idx="11">
                        <c:v>116.51671674932982</c:v>
                      </c:pt>
                      <c:pt idx="12">
                        <c:v>105.23295605786197</c:v>
                      </c:pt>
                      <c:pt idx="13">
                        <c:v>96.561989352755049</c:v>
                      </c:pt>
                      <c:pt idx="14">
                        <c:v>87.891022647648128</c:v>
                      </c:pt>
                      <c:pt idx="15">
                        <c:v>81.842538774051832</c:v>
                      </c:pt>
                      <c:pt idx="16">
                        <c:v>75.794054900455549</c:v>
                      </c:pt>
                      <c:pt idx="17">
                        <c:v>72.261187114604226</c:v>
                      </c:pt>
                      <c:pt idx="18">
                        <c:v>68.728319328752917</c:v>
                      </c:pt>
                      <c:pt idx="19">
                        <c:v>67.506108522455037</c:v>
                      </c:pt>
                      <c:pt idx="20">
                        <c:v>66.283897716157142</c:v>
                      </c:pt>
                      <c:pt idx="21">
                        <c:v>67.088962026000345</c:v>
                      </c:pt>
                      <c:pt idx="22">
                        <c:v>67.894026335843549</c:v>
                      </c:pt>
                      <c:pt idx="23">
                        <c:v>70.383127200086093</c:v>
                      </c:pt>
                      <c:pt idx="24">
                        <c:v>72.872228064328638</c:v>
                      </c:pt>
                      <c:pt idx="25">
                        <c:v>76.658491877071754</c:v>
                      </c:pt>
                      <c:pt idx="26">
                        <c:v>80.444755689814855</c:v>
                      </c:pt>
                      <c:pt idx="27">
                        <c:v>85.111263870845988</c:v>
                      </c:pt>
                      <c:pt idx="28">
                        <c:v>89.777772051877108</c:v>
                      </c:pt>
                      <c:pt idx="29">
                        <c:v>94.888886025938547</c:v>
                      </c:pt>
                      <c:pt idx="30">
                        <c:v>100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'1род'!$F$11:$AJ$11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300</c:v>
                      </c:pt>
                      <c:pt idx="1">
                        <c:v>280.34602914679897</c:v>
                      </c:pt>
                      <c:pt idx="2">
                        <c:v>260.69205829359794</c:v>
                      </c:pt>
                      <c:pt idx="3">
                        <c:v>241.69187227593491</c:v>
                      </c:pt>
                      <c:pt idx="4">
                        <c:v>222.69168625827183</c:v>
                      </c:pt>
                      <c:pt idx="5">
                        <c:v>204.95390631913148</c:v>
                      </c:pt>
                      <c:pt idx="6">
                        <c:v>187.21612637999107</c:v>
                      </c:pt>
                      <c:pt idx="7">
                        <c:v>171.26453784334268</c:v>
                      </c:pt>
                      <c:pt idx="8">
                        <c:v>155.31294930669429</c:v>
                      </c:pt>
                      <c:pt idx="9">
                        <c:v>141.55671337374599</c:v>
                      </c:pt>
                      <c:pt idx="10">
                        <c:v>127.80047744079765</c:v>
                      </c:pt>
                      <c:pt idx="11">
                        <c:v>116.51671674932982</c:v>
                      </c:pt>
                      <c:pt idx="12">
                        <c:v>105.23295605786197</c:v>
                      </c:pt>
                      <c:pt idx="13">
                        <c:v>96.561989352755049</c:v>
                      </c:pt>
                      <c:pt idx="14">
                        <c:v>87.891022647648128</c:v>
                      </c:pt>
                      <c:pt idx="15">
                        <c:v>81.842538774051832</c:v>
                      </c:pt>
                      <c:pt idx="16">
                        <c:v>75.794054900455549</c:v>
                      </c:pt>
                      <c:pt idx="17">
                        <c:v>72.261187114604226</c:v>
                      </c:pt>
                      <c:pt idx="18">
                        <c:v>68.728319328752917</c:v>
                      </c:pt>
                      <c:pt idx="19">
                        <c:v>67.506108522455037</c:v>
                      </c:pt>
                      <c:pt idx="20">
                        <c:v>66.283897716157142</c:v>
                      </c:pt>
                      <c:pt idx="21">
                        <c:v>67.088962026000345</c:v>
                      </c:pt>
                      <c:pt idx="22">
                        <c:v>67.894026335843549</c:v>
                      </c:pt>
                      <c:pt idx="23">
                        <c:v>70.383127200086093</c:v>
                      </c:pt>
                      <c:pt idx="24">
                        <c:v>72.872228064328638</c:v>
                      </c:pt>
                      <c:pt idx="25">
                        <c:v>76.658491877071754</c:v>
                      </c:pt>
                      <c:pt idx="26">
                        <c:v>80.444755689814855</c:v>
                      </c:pt>
                      <c:pt idx="27">
                        <c:v>85.111263870845988</c:v>
                      </c:pt>
                      <c:pt idx="28">
                        <c:v>89.777772051877108</c:v>
                      </c:pt>
                      <c:pt idx="29">
                        <c:v>94.888886025938547</c:v>
                      </c:pt>
                      <c:pt idx="30">
                        <c:v>100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BF0C-4BFE-A68F-3FC0BD9DEAC3}"/>
                  </c:ext>
                </c:extLst>
              </c15:ser>
            </c15:filteredScatterSeries>
          </c:ext>
        </c:extLst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57150</xdr:rowOff>
        </xdr:from>
        <xdr:to>
          <xdr:col>4</xdr:col>
          <xdr:colOff>0</xdr:colOff>
          <xdr:row>20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15</xdr:row>
          <xdr:rowOff>152400</xdr:rowOff>
        </xdr:from>
        <xdr:to>
          <xdr:col>4</xdr:col>
          <xdr:colOff>180975</xdr:colOff>
          <xdr:row>20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Решение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26</xdr:row>
      <xdr:rowOff>27214</xdr:rowOff>
    </xdr:from>
    <xdr:to>
      <xdr:col>20</xdr:col>
      <xdr:colOff>108856</xdr:colOff>
      <xdr:row>47</xdr:row>
      <xdr:rowOff>136069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132010</xdr:colOff>
      <xdr:row>27</xdr:row>
      <xdr:rowOff>176895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459331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459331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18</xdr:col>
      <xdr:colOff>447696</xdr:colOff>
      <xdr:row>46</xdr:row>
      <xdr:rowOff>84366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673589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673589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25</xdr:row>
          <xdr:rowOff>38100</xdr:rowOff>
        </xdr:from>
        <xdr:to>
          <xdr:col>5</xdr:col>
          <xdr:colOff>257175</xdr:colOff>
          <xdr:row>27</xdr:row>
          <xdr:rowOff>85725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190499</xdr:colOff>
      <xdr:row>26</xdr:row>
      <xdr:rowOff>27214</xdr:rowOff>
    </xdr:from>
    <xdr:to>
      <xdr:col>21</xdr:col>
      <xdr:colOff>504264</xdr:colOff>
      <xdr:row>49</xdr:row>
      <xdr:rowOff>145676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132010</xdr:colOff>
      <xdr:row>27</xdr:row>
      <xdr:rowOff>176895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428035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428035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18</xdr:col>
      <xdr:colOff>447696</xdr:colOff>
      <xdr:row>46</xdr:row>
      <xdr:rowOff>84366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620521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620521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25</xdr:row>
          <xdr:rowOff>38100</xdr:rowOff>
        </xdr:from>
        <xdr:to>
          <xdr:col>5</xdr:col>
          <xdr:colOff>257175</xdr:colOff>
          <xdr:row>27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AN13"/>
  <sheetViews>
    <sheetView zoomScale="70" zoomScaleNormal="70" workbookViewId="0">
      <selection activeCell="G13" sqref="G13"/>
    </sheetView>
  </sheetViews>
  <sheetFormatPr defaultRowHeight="15" x14ac:dyDescent="0.25"/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7</v>
      </c>
      <c r="C11" s="1">
        <v>300</v>
      </c>
      <c r="E11" t="s">
        <v>9</v>
      </c>
      <c r="F11">
        <f>C11</f>
        <v>300</v>
      </c>
      <c r="G11">
        <v>280.34602914679897</v>
      </c>
      <c r="H11">
        <v>260.69205829359794</v>
      </c>
      <c r="I11">
        <v>241.69187227593491</v>
      </c>
      <c r="J11">
        <v>222.69168625827183</v>
      </c>
      <c r="K11">
        <v>204.95390631913148</v>
      </c>
      <c r="L11">
        <v>187.21612637999107</v>
      </c>
      <c r="M11">
        <v>171.26453784334268</v>
      </c>
      <c r="N11">
        <v>155.31294930669429</v>
      </c>
      <c r="O11">
        <v>141.55671337374599</v>
      </c>
      <c r="P11">
        <v>127.80047744079765</v>
      </c>
      <c r="Q11">
        <v>116.51671674932982</v>
      </c>
      <c r="R11">
        <v>105.23295605786197</v>
      </c>
      <c r="S11">
        <v>96.561989352755049</v>
      </c>
      <c r="T11">
        <v>87.891022647648128</v>
      </c>
      <c r="U11">
        <v>81.842538774051832</v>
      </c>
      <c r="V11">
        <v>75.794054900455549</v>
      </c>
      <c r="W11">
        <v>72.261187114604226</v>
      </c>
      <c r="X11">
        <v>68.728319328752917</v>
      </c>
      <c r="Y11">
        <v>67.506108522455037</v>
      </c>
      <c r="Z11">
        <v>66.283897716157142</v>
      </c>
      <c r="AA11">
        <v>67.088962026000345</v>
      </c>
      <c r="AB11">
        <v>67.894026335843549</v>
      </c>
      <c r="AC11">
        <v>70.383127200086093</v>
      </c>
      <c r="AD11">
        <v>72.872228064328638</v>
      </c>
      <c r="AE11">
        <v>76.658491877071754</v>
      </c>
      <c r="AF11">
        <v>80.444755689814855</v>
      </c>
      <c r="AG11">
        <v>85.111263870845988</v>
      </c>
      <c r="AH11">
        <v>89.777772051877108</v>
      </c>
      <c r="AI11">
        <v>94.888886025938547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280.34602914679897</v>
      </c>
      <c r="H13">
        <f>H11+(($C$9*$C$4)/($C$8*$C$7))*((I11-2*H11+G11)/($C$3^2))</f>
        <v>261.01895071136693</v>
      </c>
      <c r="I13">
        <f>I11+(($C$9*$C$4)/($C$8*$C$7))*((J11-2*I11+H11)/($C$3^2))</f>
        <v>241.69187227593488</v>
      </c>
      <c r="J13">
        <f t="shared" ref="J13:AI13" si="1">J11+(($C$9*$C$4)/($C$8*$C$7))*((K11-2*J11+I11)/($C$3^2))</f>
        <v>223.32288929753321</v>
      </c>
      <c r="K13">
        <f t="shared" si="1"/>
        <v>204.95390631913145</v>
      </c>
      <c r="L13">
        <f t="shared" si="1"/>
        <v>188.10922208123708</v>
      </c>
      <c r="M13">
        <f t="shared" si="1"/>
        <v>171.26453784334268</v>
      </c>
      <c r="N13">
        <f t="shared" si="1"/>
        <v>156.41062560854434</v>
      </c>
      <c r="O13">
        <f t="shared" si="1"/>
        <v>141.55671337374596</v>
      </c>
      <c r="P13">
        <f t="shared" si="1"/>
        <v>129.0367150615379</v>
      </c>
      <c r="Q13">
        <f t="shared" si="1"/>
        <v>116.51671674932982</v>
      </c>
      <c r="R13">
        <f t="shared" si="1"/>
        <v>106.53935305104244</v>
      </c>
      <c r="S13">
        <f t="shared" si="1"/>
        <v>96.561989352755049</v>
      </c>
      <c r="T13">
        <f t="shared" si="1"/>
        <v>89.202264063403447</v>
      </c>
      <c r="U13">
        <f t="shared" si="1"/>
        <v>81.842538774051832</v>
      </c>
      <c r="V13">
        <f t="shared" si="1"/>
        <v>77.051862944328036</v>
      </c>
      <c r="W13">
        <f t="shared" si="1"/>
        <v>72.26118711460424</v>
      </c>
      <c r="X13">
        <f t="shared" si="1"/>
        <v>69.883647818529624</v>
      </c>
      <c r="Y13">
        <f t="shared" si="1"/>
        <v>67.506108522455037</v>
      </c>
      <c r="Z13">
        <f>Z11+(($C$9*$C$4)/($C$8*$C$7))*((AA11-2*Z11+Y11)/($C$3^2))</f>
        <v>67.297535274227698</v>
      </c>
      <c r="AA13">
        <f t="shared" si="1"/>
        <v>67.088962026000345</v>
      </c>
      <c r="AB13">
        <f t="shared" si="1"/>
        <v>68.736044613043219</v>
      </c>
      <c r="AC13">
        <f t="shared" si="1"/>
        <v>70.383127200086093</v>
      </c>
      <c r="AD13">
        <f t="shared" si="1"/>
        <v>73.520809538578931</v>
      </c>
      <c r="AE13">
        <f t="shared" si="1"/>
        <v>76.658491877071754</v>
      </c>
      <c r="AF13">
        <f t="shared" si="1"/>
        <v>80.884877873958871</v>
      </c>
      <c r="AG13">
        <f t="shared" si="1"/>
        <v>85.111263870845988</v>
      </c>
      <c r="AH13">
        <f t="shared" si="1"/>
        <v>90.000074948392268</v>
      </c>
      <c r="AI13">
        <f t="shared" si="1"/>
        <v>94.888886025938547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">
                <anchor moveWithCells="1" sizeWithCells="1">
                  <from>
                    <xdr:col>2</xdr:col>
                    <xdr:colOff>9525</xdr:colOff>
                    <xdr:row>18</xdr:row>
                    <xdr:rowOff>57150</xdr:rowOff>
                  </from>
                  <to>
                    <xdr:col>4</xdr:col>
                    <xdr:colOff>0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2:AN14"/>
  <sheetViews>
    <sheetView zoomScale="70" zoomScaleNormal="70" workbookViewId="0">
      <selection activeCell="G11" sqref="G11:AI11"/>
    </sheetView>
  </sheetViews>
  <sheetFormatPr defaultRowHeight="15" x14ac:dyDescent="0.25"/>
  <cols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5000</v>
      </c>
      <c r="D5">
        <v>5000.2333333333345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12</v>
      </c>
      <c r="C11" s="1">
        <v>92000</v>
      </c>
      <c r="E11" t="s">
        <v>9</v>
      </c>
      <c r="F11">
        <f>(F14/C9)*C3+G11</f>
        <v>299.99997763108735</v>
      </c>
      <c r="G11">
        <v>293.33331096442066</v>
      </c>
      <c r="H11">
        <v>286.6666443611611</v>
      </c>
      <c r="I11">
        <v>279.99997782112894</v>
      </c>
      <c r="J11">
        <v>273.33331134396514</v>
      </c>
      <c r="K11">
        <v>266.66664492913264</v>
      </c>
      <c r="L11">
        <v>259.99997857591751</v>
      </c>
      <c r="M11">
        <v>253.3333122834313</v>
      </c>
      <c r="N11">
        <v>246.66664605061328</v>
      </c>
      <c r="O11">
        <v>239.99997987623377</v>
      </c>
      <c r="P11">
        <v>233.33331375889719</v>
      </c>
      <c r="Q11">
        <v>226.66664769704656</v>
      </c>
      <c r="R11">
        <v>219.9999816889673</v>
      </c>
      <c r="S11">
        <v>213.33331573279273</v>
      </c>
      <c r="T11">
        <v>206.66664982650872</v>
      </c>
      <c r="U11">
        <v>199.99998396796005</v>
      </c>
      <c r="V11">
        <v>193.33331815485587</v>
      </c>
      <c r="W11">
        <v>186.6666523847768</v>
      </c>
      <c r="X11">
        <v>179.99998665518126</v>
      </c>
      <c r="Y11">
        <v>173.33332096341309</v>
      </c>
      <c r="Z11">
        <v>166.66665530670878</v>
      </c>
      <c r="AA11">
        <v>159.9999896822055</v>
      </c>
      <c r="AB11">
        <v>153.33332408694912</v>
      </c>
      <c r="AC11">
        <v>146.66665851790265</v>
      </c>
      <c r="AD11">
        <v>139.99999297195473</v>
      </c>
      <c r="AE11">
        <v>133.33332744592857</v>
      </c>
      <c r="AF11">
        <v>126.66666193659087</v>
      </c>
      <c r="AG11">
        <v>119.99999644066111</v>
      </c>
      <c r="AH11">
        <v>113.3333309548207</v>
      </c>
      <c r="AI11">
        <v>106.66666547572241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293.33331099612423</v>
      </c>
      <c r="H13">
        <f t="shared" ref="H13:AI13" si="1">H11+(($C$9*$C$4)/($C$8*$C$7))*((I11-2*H11+G11)/($C$3^2))</f>
        <v>286.6666443927748</v>
      </c>
      <c r="I13">
        <f t="shared" si="1"/>
        <v>279.99997785256312</v>
      </c>
      <c r="J13">
        <f t="shared" si="1"/>
        <v>273.33331137513079</v>
      </c>
      <c r="K13">
        <f t="shared" si="1"/>
        <v>266.66664495994132</v>
      </c>
      <c r="L13">
        <f t="shared" si="1"/>
        <v>259.99997860628196</v>
      </c>
      <c r="M13">
        <f t="shared" si="1"/>
        <v>253.3333123132654</v>
      </c>
      <c r="N13">
        <f t="shared" si="1"/>
        <v>246.66664607983253</v>
      </c>
      <c r="O13">
        <f t="shared" si="1"/>
        <v>239.99997990475524</v>
      </c>
      <c r="P13">
        <f t="shared" si="1"/>
        <v>233.33331378664016</v>
      </c>
      <c r="Q13">
        <f t="shared" si="1"/>
        <v>226.66664772393224</v>
      </c>
      <c r="R13">
        <f t="shared" si="1"/>
        <v>219.99998171491964</v>
      </c>
      <c r="S13">
        <f t="shared" si="1"/>
        <v>213.33331575773801</v>
      </c>
      <c r="T13">
        <f t="shared" si="1"/>
        <v>206.66664985037639</v>
      </c>
      <c r="U13">
        <f t="shared" si="1"/>
        <v>199.9999839906823</v>
      </c>
      <c r="V13">
        <f t="shared" si="1"/>
        <v>193.33331817636844</v>
      </c>
      <c r="W13">
        <f t="shared" si="1"/>
        <v>186.66665240501857</v>
      </c>
      <c r="X13">
        <f t="shared" si="1"/>
        <v>179.99998667409494</v>
      </c>
      <c r="Y13">
        <f t="shared" si="1"/>
        <v>173.33332098094502</v>
      </c>
      <c r="Z13">
        <f t="shared" si="1"/>
        <v>166.66665532280928</v>
      </c>
      <c r="AA13">
        <f t="shared" si="1"/>
        <v>159.99998969682895</v>
      </c>
      <c r="AB13">
        <f t="shared" si="1"/>
        <v>153.33332410005409</v>
      </c>
      <c r="AC13">
        <f t="shared" si="1"/>
        <v>146.66665852945192</v>
      </c>
      <c r="AD13">
        <f t="shared" si="1"/>
        <v>139.99999298191563</v>
      </c>
      <c r="AE13">
        <f t="shared" si="1"/>
        <v>133.33332745427279</v>
      </c>
      <c r="AF13">
        <f t="shared" si="1"/>
        <v>126.66666194329484</v>
      </c>
      <c r="AG13">
        <f t="shared" si="1"/>
        <v>119.99999644570579</v>
      </c>
      <c r="AH13">
        <f t="shared" si="1"/>
        <v>113.33333095819177</v>
      </c>
      <c r="AI13">
        <f t="shared" si="1"/>
        <v>106.66666547741035</v>
      </c>
    </row>
    <row r="14" spans="2:40" x14ac:dyDescent="0.25">
      <c r="E14" t="s">
        <v>11</v>
      </c>
      <c r="F14">
        <f>C11</f>
        <v>92000</v>
      </c>
      <c r="G14">
        <f>-$C$9*((G11-F11)/$C$3)</f>
        <v>92000.000000000247</v>
      </c>
      <c r="H14">
        <f t="shared" ref="H14:AI14" si="2">-$C$9*((H11-G11)/$C$3)</f>
        <v>91999.999124981885</v>
      </c>
      <c r="I14">
        <f t="shared" si="2"/>
        <v>91999.998252443896</v>
      </c>
      <c r="J14">
        <f t="shared" si="2"/>
        <v>91999.997384860442</v>
      </c>
      <c r="K14">
        <f t="shared" si="2"/>
        <v>91999.996524688366</v>
      </c>
      <c r="L14">
        <f t="shared" si="2"/>
        <v>91999.995674368853</v>
      </c>
      <c r="M14">
        <f t="shared" si="2"/>
        <v>91999.994836309721</v>
      </c>
      <c r="N14">
        <f t="shared" si="2"/>
        <v>91999.994012888623</v>
      </c>
      <c r="O14">
        <f t="shared" si="2"/>
        <v>91999.993206437299</v>
      </c>
      <c r="P14">
        <f t="shared" si="2"/>
        <v>91999.992419244736</v>
      </c>
      <c r="Q14">
        <f t="shared" si="2"/>
        <v>91999.991653538746</v>
      </c>
      <c r="R14">
        <f t="shared" si="2"/>
        <v>91999.990911493791</v>
      </c>
      <c r="S14">
        <f t="shared" si="2"/>
        <v>91999.990195209044</v>
      </c>
      <c r="T14">
        <f t="shared" si="2"/>
        <v>91999.989506719328</v>
      </c>
      <c r="U14">
        <f t="shared" si="2"/>
        <v>91999.988847971617</v>
      </c>
      <c r="V14">
        <f t="shared" si="2"/>
        <v>91999.988220837593</v>
      </c>
      <c r="W14">
        <f t="shared" si="2"/>
        <v>91999.987627091265</v>
      </c>
      <c r="X14">
        <f t="shared" si="2"/>
        <v>91999.987068418384</v>
      </c>
      <c r="Y14">
        <f t="shared" si="2"/>
        <v>91999.986546400789</v>
      </c>
      <c r="Z14">
        <f t="shared" si="2"/>
        <v>91999.986062519471</v>
      </c>
      <c r="AA14">
        <f t="shared" si="2"/>
        <v>91999.985618145278</v>
      </c>
      <c r="AB14">
        <f t="shared" si="2"/>
        <v>91999.985214537985</v>
      </c>
      <c r="AC14">
        <f t="shared" si="2"/>
        <v>91999.984852841313</v>
      </c>
      <c r="AD14">
        <f t="shared" si="2"/>
        <v>91999.984534081304</v>
      </c>
      <c r="AE14">
        <f t="shared" si="2"/>
        <v>91999.984259160876</v>
      </c>
      <c r="AF14">
        <f t="shared" si="2"/>
        <v>91999.984028860315</v>
      </c>
      <c r="AG14">
        <f t="shared" si="2"/>
        <v>91999.98384383072</v>
      </c>
      <c r="AH14">
        <f t="shared" si="2"/>
        <v>91999.983704597675</v>
      </c>
      <c r="AI14">
        <f t="shared" si="2"/>
        <v>91999.983611556323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terat">
                <anchor moveWithCells="1" sizeWithCells="1">
                  <from>
                    <xdr:col>1</xdr:col>
                    <xdr:colOff>219075</xdr:colOff>
                    <xdr:row>15</xdr:row>
                    <xdr:rowOff>152400</xdr:rowOff>
                  </from>
                  <to>
                    <xdr:col>4</xdr:col>
                    <xdr:colOff>180975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2:AJ21"/>
  <sheetViews>
    <sheetView topLeftCell="A6" zoomScale="70" zoomScaleNormal="70" workbookViewId="0">
      <selection activeCell="G13" sqref="G13"/>
    </sheetView>
  </sheetViews>
  <sheetFormatPr defaultRowHeight="15" x14ac:dyDescent="0.25"/>
  <cols>
    <col min="7" max="7" width="12.140625" bestFit="1" customWidth="1"/>
  </cols>
  <sheetData>
    <row r="2" spans="2:36" x14ac:dyDescent="0.25">
      <c r="B2" s="1" t="s">
        <v>0</v>
      </c>
      <c r="C2" s="1">
        <v>0.1</v>
      </c>
    </row>
    <row r="3" spans="2:36" x14ac:dyDescent="0.25">
      <c r="B3" s="1" t="s">
        <v>1</v>
      </c>
      <c r="C3" s="1">
        <f>C2/30</f>
        <v>3.3333333333333335E-3</v>
      </c>
    </row>
    <row r="4" spans="2:36" x14ac:dyDescent="0.25">
      <c r="B4" s="1" t="s">
        <v>2</v>
      </c>
      <c r="C4" s="1">
        <v>1</v>
      </c>
    </row>
    <row r="5" spans="2:36" x14ac:dyDescent="0.25">
      <c r="B5" s="1" t="s">
        <v>3</v>
      </c>
      <c r="C5" s="1">
        <v>60</v>
      </c>
      <c r="D5">
        <v>60</v>
      </c>
    </row>
    <row r="7" spans="2:36" x14ac:dyDescent="0.25">
      <c r="B7" s="1" t="s">
        <v>4</v>
      </c>
      <c r="C7" s="1">
        <v>460</v>
      </c>
    </row>
    <row r="8" spans="2:36" x14ac:dyDescent="0.25">
      <c r="B8" s="1" t="s">
        <v>5</v>
      </c>
      <c r="C8" s="1">
        <v>7800</v>
      </c>
    </row>
    <row r="9" spans="2:36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25">
      <c r="B11" s="1" t="s">
        <v>7</v>
      </c>
      <c r="C11" s="1">
        <v>300</v>
      </c>
      <c r="E11" t="s">
        <v>9</v>
      </c>
      <c r="F11">
        <f>C11</f>
        <v>300</v>
      </c>
      <c r="G11">
        <v>280.08693913290779</v>
      </c>
      <c r="H11">
        <v>260.34528884307156</v>
      </c>
      <c r="I11">
        <v>240.94322870396985</v>
      </c>
      <c r="J11">
        <v>222.04259121089365</v>
      </c>
      <c r="K11">
        <v>203.79596876432669</v>
      </c>
      <c r="L11">
        <v>186.34413876917304</v>
      </c>
      <c r="M11">
        <v>169.81388358198302</v>
      </c>
      <c r="N11">
        <v>154.31625985996357</v>
      </c>
      <c r="O11">
        <v>139.94534749959706</v>
      </c>
      <c r="P11">
        <v>126.77748357718193</v>
      </c>
      <c r="Q11">
        <v>114.87096325508222</v>
      </c>
      <c r="R11">
        <v>104.26616904525903</v>
      </c>
      <c r="S11">
        <v>94.986073365012174</v>
      </c>
      <c r="T11">
        <v>87.037047818685082</v>
      </c>
      <c r="U11">
        <v>80.409906485303551</v>
      </c>
      <c r="V11">
        <v>75.081109624202284</v>
      </c>
      <c r="W11">
        <v>71.014058149603102</v>
      </c>
      <c r="X11">
        <v>68.160417145848228</v>
      </c>
      <c r="Y11">
        <v>66.461417524955024</v>
      </c>
      <c r="Z11">
        <v>65.849097461429992</v>
      </c>
      <c r="AA11">
        <v>66.247458255201138</v>
      </c>
      <c r="AB11">
        <v>67.573521648220535</v>
      </c>
      <c r="AC11">
        <v>69.738286421168482</v>
      </c>
      <c r="AD11">
        <v>72.64759065221422</v>
      </c>
      <c r="AE11">
        <v>76.202891959402834</v>
      </c>
      <c r="AF11">
        <v>80.30198131052552</v>
      </c>
      <c r="AG11">
        <v>84.839646794335664</v>
      </c>
      <c r="AH11">
        <v>89.708302566510568</v>
      </c>
      <c r="AI11">
        <v>94.798595640746925</v>
      </c>
      <c r="AJ11">
        <f>C12</f>
        <v>100</v>
      </c>
    </row>
    <row r="12" spans="2:36" x14ac:dyDescent="0.25">
      <c r="B12" s="1" t="s">
        <v>8</v>
      </c>
      <c r="C12" s="1">
        <v>100</v>
      </c>
    </row>
    <row r="13" spans="2:36" x14ac:dyDescent="0.25">
      <c r="E13" t="s">
        <v>10</v>
      </c>
      <c r="G13">
        <f t="shared" ref="G13:AH13" si="1">G17*H13+G19</f>
        <v>280.28058441744241</v>
      </c>
      <c r="H13">
        <f t="shared" si="1"/>
        <v>260.72899474814812</v>
      </c>
      <c r="I13">
        <f t="shared" si="1"/>
        <v>241.50995019658686</v>
      </c>
      <c r="J13">
        <f t="shared" si="1"/>
        <v>222.78206427196028</v>
      </c>
      <c r="K13">
        <f t="shared" si="1"/>
        <v>204.69505500025815</v>
      </c>
      <c r="L13">
        <f t="shared" si="1"/>
        <v>187.38725379969665</v>
      </c>
      <c r="M13">
        <f t="shared" si="1"/>
        <v>170.98348562558894</v>
      </c>
      <c r="N13">
        <f t="shared" si="1"/>
        <v>155.59337255593965</v>
      </c>
      <c r="O13">
        <f t="shared" si="1"/>
        <v>141.31009048946964</v>
      </c>
      <c r="P13">
        <f t="shared" si="1"/>
        <v>128.20958568088923</v>
      </c>
      <c r="Q13">
        <f t="shared" si="1"/>
        <v>116.35023602885518</v>
      </c>
      <c r="R13">
        <f t="shared" si="1"/>
        <v>105.77292278075768</v>
      </c>
      <c r="S13">
        <f t="shared" si="1"/>
        <v>96.501462770092388</v>
      </c>
      <c r="T13">
        <f t="shared" si="1"/>
        <v>88.543340243829945</v>
      </c>
      <c r="U13">
        <f t="shared" si="1"/>
        <v>81.890671152693045</v>
      </c>
      <c r="V13">
        <f t="shared" si="1"/>
        <v>76.521331439960363</v>
      </c>
      <c r="W13">
        <f t="shared" si="1"/>
        <v>72.400183967551357</v>
      </c>
      <c r="X13">
        <f t="shared" si="1"/>
        <v>69.480345537364187</v>
      </c>
      <c r="Y13">
        <f t="shared" si="1"/>
        <v>67.704445046490861</v>
      </c>
      <c r="Z13">
        <f t="shared" si="1"/>
        <v>67.005835074281933</v>
      </c>
      <c r="AA13">
        <f t="shared" si="1"/>
        <v>67.309731033211335</v>
      </c>
      <c r="AB13">
        <f t="shared" si="1"/>
        <v>68.534263399749605</v>
      </c>
      <c r="AC13">
        <f t="shared" si="1"/>
        <v>70.591438617613093</v>
      </c>
      <c r="AD13">
        <f t="shared" si="1"/>
        <v>73.388012405728603</v>
      </c>
      <c r="AE13">
        <f t="shared" si="1"/>
        <v>76.826285046889922</v>
      </c>
      <c r="AF13">
        <f t="shared" si="1"/>
        <v>80.804831697206723</v>
      </c>
      <c r="AG13">
        <f t="shared" si="1"/>
        <v>85.219182015980607</v>
      </c>
      <c r="AH13">
        <f t="shared" si="1"/>
        <v>89.962462860180125</v>
      </c>
      <c r="AI13">
        <f>AI17*AJ13+AI19</f>
        <v>94.926015958893288</v>
      </c>
      <c r="AJ13">
        <f>AJ11</f>
        <v>100</v>
      </c>
    </row>
    <row r="15" spans="2:36" x14ac:dyDescent="0.25">
      <c r="E15" t="s">
        <v>16</v>
      </c>
      <c r="G15">
        <f>-$C$8*$C$7/$C$4*G11</f>
        <v>-1004951937.6088731</v>
      </c>
      <c r="H15">
        <f t="shared" ref="H15:AH15" si="2">-$C$8*$C$7/$C$4*H11</f>
        <v>-934118896.36894071</v>
      </c>
      <c r="I15">
        <f t="shared" si="2"/>
        <v>-864504304.58984387</v>
      </c>
      <c r="J15">
        <f t="shared" si="2"/>
        <v>-796688817.26468647</v>
      </c>
      <c r="K15">
        <f t="shared" si="2"/>
        <v>-731219935.92640412</v>
      </c>
      <c r="L15">
        <f t="shared" si="2"/>
        <v>-668602769.90379286</v>
      </c>
      <c r="M15">
        <f t="shared" si="2"/>
        <v>-609292214.29215503</v>
      </c>
      <c r="N15">
        <f t="shared" si="2"/>
        <v>-553686740.37754929</v>
      </c>
      <c r="O15">
        <f t="shared" si="2"/>
        <v>-502123906.82855427</v>
      </c>
      <c r="P15">
        <f t="shared" si="2"/>
        <v>-454877611.07492876</v>
      </c>
      <c r="Q15">
        <f t="shared" si="2"/>
        <v>-412157016.159235</v>
      </c>
      <c r="R15">
        <f t="shared" si="2"/>
        <v>-374107014.53438944</v>
      </c>
      <c r="S15">
        <f t="shared" si="2"/>
        <v>-340810031.23366368</v>
      </c>
      <c r="T15">
        <f t="shared" si="2"/>
        <v>-312288927.5734421</v>
      </c>
      <c r="U15">
        <f t="shared" si="2"/>
        <v>-288510744.46926916</v>
      </c>
      <c r="V15">
        <f t="shared" si="2"/>
        <v>-269391021.3316378</v>
      </c>
      <c r="W15">
        <f t="shared" si="2"/>
        <v>-254798440.64077592</v>
      </c>
      <c r="X15">
        <f t="shared" si="2"/>
        <v>-244559576.71930343</v>
      </c>
      <c r="Y15">
        <f t="shared" si="2"/>
        <v>-238463566.07953861</v>
      </c>
      <c r="Z15">
        <f t="shared" si="2"/>
        <v>-236266561.69161081</v>
      </c>
      <c r="AA15">
        <f t="shared" si="2"/>
        <v>-237695880.21966168</v>
      </c>
      <c r="AB15">
        <f t="shared" si="2"/>
        <v>-242453795.67381528</v>
      </c>
      <c r="AC15">
        <f t="shared" si="2"/>
        <v>-250220971.67915252</v>
      </c>
      <c r="AD15">
        <f t="shared" si="2"/>
        <v>-260659555.26014462</v>
      </c>
      <c r="AE15">
        <f t="shared" si="2"/>
        <v>-273415976.35033739</v>
      </c>
      <c r="AF15">
        <f t="shared" si="2"/>
        <v>-288123508.94216555</v>
      </c>
      <c r="AG15">
        <f t="shared" si="2"/>
        <v>-304404652.69807637</v>
      </c>
      <c r="AH15">
        <f t="shared" si="2"/>
        <v>-321873389.6086399</v>
      </c>
      <c r="AI15">
        <f>-$C$8*$C$7/$C$4*AI11</f>
        <v>-340137361.15899998</v>
      </c>
    </row>
    <row r="17" spans="2:35" x14ac:dyDescent="0.25">
      <c r="B17" s="1" t="s">
        <v>13</v>
      </c>
      <c r="C17" s="1">
        <f>C9/(C3^2)</f>
        <v>4139999.9999999991</v>
      </c>
      <c r="E17" t="s">
        <v>17</v>
      </c>
      <c r="F17">
        <v>0</v>
      </c>
      <c r="G17">
        <f>$C$17/($C$18-$C$19*F17)</f>
        <v>0.34883720930232553</v>
      </c>
      <c r="H17">
        <f t="shared" ref="H17:AH17" si="3">$C$17/($C$18-$C$19*G17)</f>
        <v>0.39716748768472904</v>
      </c>
      <c r="I17">
        <f t="shared" si="3"/>
        <v>0.40494040593779607</v>
      </c>
      <c r="J17">
        <f t="shared" si="3"/>
        <v>0.4062190081621499</v>
      </c>
      <c r="K17">
        <f t="shared" si="3"/>
        <v>0.40643010492156101</v>
      </c>
      <c r="L17">
        <f t="shared" si="3"/>
        <v>0.40646497802255066</v>
      </c>
      <c r="M17">
        <f t="shared" si="3"/>
        <v>0.40647073962099717</v>
      </c>
      <c r="N17">
        <f t="shared" si="3"/>
        <v>0.40647169154566137</v>
      </c>
      <c r="O17">
        <f t="shared" si="3"/>
        <v>0.40647184882198806</v>
      </c>
      <c r="P17">
        <f t="shared" si="3"/>
        <v>0.40647187480708435</v>
      </c>
      <c r="Q17">
        <f t="shared" si="3"/>
        <v>0.40647187910032606</v>
      </c>
      <c r="R17">
        <f t="shared" si="3"/>
        <v>0.40647187980965277</v>
      </c>
      <c r="S17">
        <f t="shared" si="3"/>
        <v>0.4064718799268473</v>
      </c>
      <c r="T17">
        <f t="shared" si="3"/>
        <v>0.40647187994621015</v>
      </c>
      <c r="U17">
        <f t="shared" si="3"/>
        <v>0.40647187994940925</v>
      </c>
      <c r="V17">
        <f t="shared" si="3"/>
        <v>0.40647187994993778</v>
      </c>
      <c r="W17">
        <f t="shared" si="3"/>
        <v>0.40647187995002515</v>
      </c>
      <c r="X17">
        <f t="shared" si="3"/>
        <v>0.40647187995003953</v>
      </c>
      <c r="Y17">
        <f t="shared" si="3"/>
        <v>0.40647187995004191</v>
      </c>
      <c r="Z17">
        <f t="shared" si="3"/>
        <v>0.40647187995004236</v>
      </c>
      <c r="AA17">
        <f t="shared" si="3"/>
        <v>0.40647187995004236</v>
      </c>
      <c r="AB17">
        <f t="shared" si="3"/>
        <v>0.40647187995004236</v>
      </c>
      <c r="AC17">
        <f t="shared" si="3"/>
        <v>0.40647187995004236</v>
      </c>
      <c r="AD17">
        <f t="shared" si="3"/>
        <v>0.40647187995004236</v>
      </c>
      <c r="AE17">
        <f t="shared" si="3"/>
        <v>0.40647187995004236</v>
      </c>
      <c r="AF17">
        <f t="shared" si="3"/>
        <v>0.40647187995004236</v>
      </c>
      <c r="AG17">
        <f t="shared" si="3"/>
        <v>0.40647187995004236</v>
      </c>
      <c r="AH17">
        <f t="shared" si="3"/>
        <v>0.40647187995004236</v>
      </c>
      <c r="AI17">
        <f>$C$17/($C$18-$C$19*AH17)</f>
        <v>0.40647187995004236</v>
      </c>
    </row>
    <row r="18" spans="2:35" x14ac:dyDescent="0.25">
      <c r="B18" s="1" t="s">
        <v>14</v>
      </c>
      <c r="C18" s="1">
        <f>2*C9/(C3^2)+C8*C7/C4</f>
        <v>11867999.999999998</v>
      </c>
    </row>
    <row r="19" spans="2:35" x14ac:dyDescent="0.25">
      <c r="B19" s="1" t="s">
        <v>15</v>
      </c>
      <c r="C19" s="1">
        <f>C17</f>
        <v>4139999.9999999991</v>
      </c>
      <c r="E19" t="s">
        <v>18</v>
      </c>
      <c r="F19">
        <f>F11</f>
        <v>300</v>
      </c>
      <c r="G19">
        <f>(F19*$C$19-G15)/($C$18-$C$19*F17)</f>
        <v>189.32860950529772</v>
      </c>
      <c r="H19">
        <f t="shared" ref="H19:AH19" si="4">(G19*$C$19-H15)/($C$18-$C$19*G17)</f>
        <v>164.80909457770568</v>
      </c>
      <c r="I19">
        <f t="shared" si="4"/>
        <v>151.29649065463909</v>
      </c>
      <c r="J19">
        <f t="shared" si="4"/>
        <v>139.6310420540587</v>
      </c>
      <c r="K19">
        <f t="shared" si="4"/>
        <v>128.53523377748428</v>
      </c>
      <c r="L19">
        <f t="shared" si="4"/>
        <v>117.88845507267254</v>
      </c>
      <c r="M19">
        <f t="shared" si="4"/>
        <v>107.73933240265079</v>
      </c>
      <c r="N19">
        <f t="shared" si="4"/>
        <v>98.154821042214451</v>
      </c>
      <c r="O19">
        <f t="shared" si="4"/>
        <v>89.196503161057521</v>
      </c>
      <c r="P19">
        <f t="shared" si="4"/>
        <v>80.916487107993703</v>
      </c>
      <c r="Q19">
        <f t="shared" si="4"/>
        <v>73.356517348226916</v>
      </c>
      <c r="R19">
        <f t="shared" si="4"/>
        <v>66.547791804217013</v>
      </c>
      <c r="S19">
        <f t="shared" si="4"/>
        <v>60.511084806180349</v>
      </c>
      <c r="T19">
        <f t="shared" si="4"/>
        <v>55.257085190337925</v>
      </c>
      <c r="U19">
        <f t="shared" si="4"/>
        <v>50.786901706060519</v>
      </c>
      <c r="V19">
        <f t="shared" si="4"/>
        <v>47.092692553948417</v>
      </c>
      <c r="W19">
        <f t="shared" si="4"/>
        <v>44.1583772974016</v>
      </c>
      <c r="X19">
        <f t="shared" si="4"/>
        <v>41.960392478342904</v>
      </c>
      <c r="Y19">
        <f t="shared" si="4"/>
        <v>40.468457296225026</v>
      </c>
      <c r="Z19">
        <f t="shared" si="4"/>
        <v>39.646322162280811</v>
      </c>
      <c r="AA19">
        <f t="shared" si="4"/>
        <v>39.452480148123733</v>
      </c>
      <c r="AB19">
        <f t="shared" si="4"/>
        <v>39.840828636470391</v>
      </c>
      <c r="AC19">
        <f t="shared" si="4"/>
        <v>40.761275249259562</v>
      </c>
      <c r="AD19">
        <f t="shared" si="4"/>
        <v>42.16028789314143</v>
      </c>
      <c r="AE19">
        <f t="shared" si="4"/>
        <v>43.981393197879527</v>
      </c>
      <c r="AF19">
        <f t="shared" si="4"/>
        <v>46.165630575366244</v>
      </c>
      <c r="AG19">
        <f t="shared" si="4"/>
        <v>48.651970612267327</v>
      </c>
      <c r="AH19">
        <f t="shared" si="4"/>
        <v>51.377706697201049</v>
      </c>
      <c r="AI19">
        <f>(AH19*$C$19-AI15)/($C$18-$C$19*AH17)</f>
        <v>54.27882796388905</v>
      </c>
    </row>
    <row r="21" spans="2:35" x14ac:dyDescent="0.25">
      <c r="E21" t="s">
        <v>19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iterat">
                <anchor moveWithCells="1" sizeWithCells="1">
                  <from>
                    <xdr:col>3</xdr:col>
                    <xdr:colOff>295275</xdr:colOff>
                    <xdr:row>25</xdr:row>
                    <xdr:rowOff>38100</xdr:rowOff>
                  </from>
                  <to>
                    <xdr:col>5</xdr:col>
                    <xdr:colOff>257175</xdr:colOff>
                    <xdr:row>27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AJ19"/>
  <sheetViews>
    <sheetView tabSelected="1" zoomScale="85" zoomScaleNormal="85" workbookViewId="0">
      <selection activeCell="M25" sqref="M25"/>
    </sheetView>
  </sheetViews>
  <sheetFormatPr defaultRowHeight="15" x14ac:dyDescent="0.25"/>
  <cols>
    <col min="7" max="7" width="12.140625" bestFit="1" customWidth="1"/>
    <col min="8" max="8" width="11.28515625" bestFit="1" customWidth="1"/>
  </cols>
  <sheetData>
    <row r="2" spans="2:36" x14ac:dyDescent="0.25">
      <c r="B2" s="1" t="s">
        <v>0</v>
      </c>
      <c r="C2" s="1">
        <v>0.1</v>
      </c>
    </row>
    <row r="3" spans="2:36" x14ac:dyDescent="0.25">
      <c r="B3" s="1" t="s">
        <v>1</v>
      </c>
      <c r="C3" s="1">
        <f>C2/30</f>
        <v>3.3333333333333335E-3</v>
      </c>
    </row>
    <row r="4" spans="2:36" x14ac:dyDescent="0.25">
      <c r="B4" s="1" t="s">
        <v>2</v>
      </c>
      <c r="C4" s="1">
        <v>1</v>
      </c>
    </row>
    <row r="5" spans="2:36" x14ac:dyDescent="0.25">
      <c r="B5" s="1" t="s">
        <v>3</v>
      </c>
      <c r="C5" s="1">
        <v>5000</v>
      </c>
      <c r="D5">
        <v>1</v>
      </c>
    </row>
    <row r="7" spans="2:36" x14ac:dyDescent="0.25">
      <c r="B7" s="1" t="s">
        <v>4</v>
      </c>
      <c r="C7" s="1">
        <v>460</v>
      </c>
    </row>
    <row r="8" spans="2:36" x14ac:dyDescent="0.25">
      <c r="B8" s="1" t="s">
        <v>5</v>
      </c>
      <c r="C8" s="1">
        <v>7800</v>
      </c>
    </row>
    <row r="9" spans="2:36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25">
      <c r="B11" s="1" t="s">
        <v>12</v>
      </c>
      <c r="C11" s="1">
        <v>92000</v>
      </c>
      <c r="E11" t="s">
        <v>9</v>
      </c>
      <c r="F11">
        <f>F14/C9*C3+G11</f>
        <v>299.99993926179997</v>
      </c>
      <c r="G11">
        <v>293.33327259513328</v>
      </c>
      <c r="H11">
        <v>286.66660627198729</v>
      </c>
      <c r="I11">
        <v>279.99994010743097</v>
      </c>
      <c r="J11">
        <v>273.33327410014584</v>
      </c>
      <c r="K11">
        <v>266.66660824840051</v>
      </c>
      <c r="L11">
        <v>259.9999425500551</v>
      </c>
      <c r="M11">
        <v>253.33327700256672</v>
      </c>
      <c r="N11">
        <v>246.66661160299662</v>
      </c>
      <c r="O11">
        <v>239.99994634801763</v>
      </c>
      <c r="P11">
        <v>233.33328123392272</v>
      </c>
      <c r="Q11">
        <v>226.66661625663511</v>
      </c>
      <c r="R11">
        <v>219.99995141171857</v>
      </c>
      <c r="S11">
        <v>213.33328669438953</v>
      </c>
      <c r="T11">
        <v>206.66662209952915</v>
      </c>
      <c r="U11">
        <v>199.99995762169715</v>
      </c>
      <c r="V11">
        <v>193.3332932551458</v>
      </c>
      <c r="W11">
        <v>186.66662899383539</v>
      </c>
      <c r="X11">
        <v>179.99996483144957</v>
      </c>
      <c r="Y11">
        <v>173.33330076141254</v>
      </c>
      <c r="Z11">
        <v>166.66663677690573</v>
      </c>
      <c r="AA11">
        <v>159.99997287088607</v>
      </c>
      <c r="AB11">
        <v>153.33330903610445</v>
      </c>
      <c r="AC11">
        <v>146.66664526512469</v>
      </c>
      <c r="AD11">
        <v>139.99998155034302</v>
      </c>
      <c r="AE11">
        <v>133.33331788400815</v>
      </c>
      <c r="AF11">
        <v>126.66665425824152</v>
      </c>
      <c r="AG11">
        <v>119.99999066505806</v>
      </c>
      <c r="AH11">
        <v>113.33332709638717</v>
      </c>
      <c r="AI11">
        <v>106.66666354409381</v>
      </c>
      <c r="AJ11">
        <f>C12</f>
        <v>100</v>
      </c>
    </row>
    <row r="12" spans="2:36" x14ac:dyDescent="0.25">
      <c r="B12" s="1" t="s">
        <v>8</v>
      </c>
      <c r="C12" s="1">
        <v>100</v>
      </c>
    </row>
    <row r="13" spans="2:36" x14ac:dyDescent="0.25">
      <c r="E13" t="s">
        <v>10</v>
      </c>
      <c r="G13">
        <f>G16*H13+G17</f>
        <v>293.33327277860627</v>
      </c>
      <c r="H13">
        <f t="shared" ref="H13:AI13" si="1">H16*I13+H17</f>
        <v>286.66660645442261</v>
      </c>
      <c r="I13">
        <f t="shared" si="1"/>
        <v>279.99994028834959</v>
      </c>
      <c r="J13">
        <f t="shared" si="1"/>
        <v>273.33327427907267</v>
      </c>
      <c r="K13">
        <f t="shared" si="1"/>
        <v>266.66660842486567</v>
      </c>
      <c r="L13">
        <f t="shared" si="1"/>
        <v>259.99994272359521</v>
      </c>
      <c r="M13">
        <f t="shared" si="1"/>
        <v>253.33327717272613</v>
      </c>
      <c r="N13">
        <f t="shared" si="1"/>
        <v>246.66661176932848</v>
      </c>
      <c r="O13">
        <f t="shared" si="1"/>
        <v>239.99994651008518</v>
      </c>
      <c r="P13">
        <f t="shared" si="1"/>
        <v>233.33328139130037</v>
      </c>
      <c r="Q13">
        <f t="shared" si="1"/>
        <v>226.66661640890962</v>
      </c>
      <c r="R13">
        <f t="shared" si="1"/>
        <v>219.9999515584901</v>
      </c>
      <c r="S13">
        <f t="shared" si="1"/>
        <v>213.33328683527265</v>
      </c>
      <c r="T13">
        <f t="shared" si="1"/>
        <v>206.66662223415392</v>
      </c>
      <c r="U13">
        <f t="shared" si="1"/>
        <v>199.99995774971006</v>
      </c>
      <c r="V13">
        <f t="shared" si="1"/>
        <v>193.33329337621075</v>
      </c>
      <c r="W13">
        <f t="shared" si="1"/>
        <v>186.66662910763444</v>
      </c>
      <c r="X13">
        <f t="shared" si="1"/>
        <v>179.9999649376839</v>
      </c>
      <c r="Y13">
        <f t="shared" si="1"/>
        <v>173.33330085980316</v>
      </c>
      <c r="Z13">
        <f t="shared" si="1"/>
        <v>166.66663686719431</v>
      </c>
      <c r="AA13">
        <f t="shared" si="1"/>
        <v>159.99997295283549</v>
      </c>
      <c r="AB13">
        <f t="shared" si="1"/>
        <v>153.33330910949954</v>
      </c>
      <c r="AC13">
        <f t="shared" si="1"/>
        <v>146.66664532977273</v>
      </c>
      <c r="AD13">
        <f t="shared" si="1"/>
        <v>139.99998160607424</v>
      </c>
      <c r="AE13">
        <f t="shared" si="1"/>
        <v>133.33331793067623</v>
      </c>
      <c r="AF13">
        <f t="shared" si="1"/>
        <v>126.66665429572389</v>
      </c>
      <c r="AG13">
        <f t="shared" si="1"/>
        <v>119.99999069325629</v>
      </c>
      <c r="AH13">
        <f t="shared" si="1"/>
        <v>113.33332711522721</v>
      </c>
      <c r="AI13">
        <f t="shared" si="1"/>
        <v>106.66666355352621</v>
      </c>
      <c r="AJ13">
        <f>AJ11</f>
        <v>100</v>
      </c>
    </row>
    <row r="14" spans="2:36" x14ac:dyDescent="0.25">
      <c r="E14" t="s">
        <v>11</v>
      </c>
      <c r="F14">
        <f>C11</f>
        <v>92000</v>
      </c>
      <c r="G14">
        <f t="shared" ref="G14:AH14" si="2">-$C$9*(G11-F11)/$C$3</f>
        <v>92000.000000000262</v>
      </c>
      <c r="H14">
        <f t="shared" si="2"/>
        <v>91999.995259414645</v>
      </c>
      <c r="I14">
        <f t="shared" si="2"/>
        <v>91999.993070877186</v>
      </c>
      <c r="J14">
        <f t="shared" si="2"/>
        <v>91999.990900534787</v>
      </c>
      <c r="K14">
        <f t="shared" si="2"/>
        <v>91999.988754085629</v>
      </c>
      <c r="L14">
        <f t="shared" si="2"/>
        <v>91999.986637166672</v>
      </c>
      <c r="M14">
        <f t="shared" si="2"/>
        <v>91999.984555339615</v>
      </c>
      <c r="N14">
        <f t="shared" si="2"/>
        <v>91999.982514067276</v>
      </c>
      <c r="O14">
        <f t="shared" si="2"/>
        <v>91999.980518710116</v>
      </c>
      <c r="P14">
        <f t="shared" si="2"/>
        <v>91999.978574509776</v>
      </c>
      <c r="Q14">
        <f t="shared" si="2"/>
        <v>91999.976686569004</v>
      </c>
      <c r="R14">
        <f t="shared" si="2"/>
        <v>91999.97485984824</v>
      </c>
      <c r="S14">
        <f t="shared" si="2"/>
        <v>91999.973099140771</v>
      </c>
      <c r="T14">
        <f t="shared" si="2"/>
        <v>91999.971409073216</v>
      </c>
      <c r="U14">
        <f t="shared" si="2"/>
        <v>91999.969794081597</v>
      </c>
      <c r="V14">
        <f t="shared" si="2"/>
        <v>91999.968258408553</v>
      </c>
      <c r="W14">
        <f t="shared" si="2"/>
        <v>91999.966806083728</v>
      </c>
      <c r="X14">
        <f t="shared" si="2"/>
        <v>91999.965440924221</v>
      </c>
      <c r="Y14">
        <f t="shared" si="2"/>
        <v>91999.964166510996</v>
      </c>
      <c r="Z14">
        <f t="shared" si="2"/>
        <v>91999.962986194005</v>
      </c>
      <c r="AA14">
        <f t="shared" si="2"/>
        <v>91999.961903071366</v>
      </c>
      <c r="AB14">
        <f t="shared" si="2"/>
        <v>91999.96091998629</v>
      </c>
      <c r="AC14">
        <f t="shared" si="2"/>
        <v>91999.960039520782</v>
      </c>
      <c r="AD14">
        <f t="shared" si="2"/>
        <v>91999.959263986937</v>
      </c>
      <c r="AE14">
        <f t="shared" si="2"/>
        <v>91999.958595421194</v>
      </c>
      <c r="AF14">
        <f t="shared" si="2"/>
        <v>91999.958035579504</v>
      </c>
      <c r="AG14">
        <f t="shared" si="2"/>
        <v>91999.957585931712</v>
      </c>
      <c r="AH14">
        <f t="shared" si="2"/>
        <v>91999.957247658385</v>
      </c>
      <c r="AI14">
        <f>-$C$9*(AI11-AH11)/$C$3</f>
        <v>91999.957021648326</v>
      </c>
    </row>
    <row r="15" spans="2:36" x14ac:dyDescent="0.25">
      <c r="E15" t="s">
        <v>16</v>
      </c>
      <c r="F15">
        <f>-($C$8*$C$7)/$C$4*F11</f>
        <v>-1076399782.0713382</v>
      </c>
      <c r="G15">
        <f>-($C$8*$C$7)/$C$4*G11</f>
        <v>-1052479782.0713382</v>
      </c>
      <c r="H15">
        <f t="shared" ref="H15:AJ15" si="3">-($C$8*$C$7)/$C$4*H11</f>
        <v>-1028559783.3038903</v>
      </c>
      <c r="I15">
        <f t="shared" si="3"/>
        <v>-1004639785.1054623</v>
      </c>
      <c r="J15">
        <f t="shared" si="3"/>
        <v>-980719787.47132325</v>
      </c>
      <c r="K15">
        <f t="shared" si="3"/>
        <v>-956799790.39526105</v>
      </c>
      <c r="L15">
        <f t="shared" si="3"/>
        <v>-932879793.86959767</v>
      </c>
      <c r="M15">
        <f t="shared" si="3"/>
        <v>-908959797.88520944</v>
      </c>
      <c r="N15">
        <f t="shared" si="3"/>
        <v>-885039802.43155193</v>
      </c>
      <c r="O15">
        <f t="shared" si="3"/>
        <v>-861119807.49668729</v>
      </c>
      <c r="P15">
        <f t="shared" si="3"/>
        <v>-837199813.06731474</v>
      </c>
      <c r="Q15">
        <f t="shared" si="3"/>
        <v>-813279819.12880683</v>
      </c>
      <c r="R15">
        <f t="shared" si="3"/>
        <v>-789359825.66524625</v>
      </c>
      <c r="S15">
        <f t="shared" si="3"/>
        <v>-765439832.6594696</v>
      </c>
      <c r="T15">
        <f t="shared" si="3"/>
        <v>-741519840.09311056</v>
      </c>
      <c r="U15">
        <f t="shared" si="3"/>
        <v>-717599847.94664931</v>
      </c>
      <c r="V15">
        <f t="shared" si="3"/>
        <v>-693679856.19946313</v>
      </c>
      <c r="W15">
        <f t="shared" si="3"/>
        <v>-669759864.82988143</v>
      </c>
      <c r="X15">
        <f t="shared" si="3"/>
        <v>-645839873.8152411</v>
      </c>
      <c r="Y15">
        <f t="shared" si="3"/>
        <v>-621919883.13194823</v>
      </c>
      <c r="Z15">
        <f t="shared" si="3"/>
        <v>-597999892.75553775</v>
      </c>
      <c r="AA15">
        <f t="shared" si="3"/>
        <v>-574079902.66073918</v>
      </c>
      <c r="AB15">
        <f t="shared" si="3"/>
        <v>-550159912.82154274</v>
      </c>
      <c r="AC15">
        <f t="shared" si="3"/>
        <v>-526239923.21126735</v>
      </c>
      <c r="AD15">
        <f t="shared" si="3"/>
        <v>-502319933.80263078</v>
      </c>
      <c r="AE15">
        <f t="shared" si="3"/>
        <v>-478399944.56782126</v>
      </c>
      <c r="AF15">
        <f t="shared" si="3"/>
        <v>-454479955.47857058</v>
      </c>
      <c r="AG15">
        <f t="shared" si="3"/>
        <v>-430559966.50622833</v>
      </c>
      <c r="AH15">
        <f t="shared" si="3"/>
        <v>-406639977.62183714</v>
      </c>
      <c r="AI15">
        <f t="shared" si="3"/>
        <v>-382719988.79620856</v>
      </c>
      <c r="AJ15">
        <f t="shared" si="3"/>
        <v>-358800000</v>
      </c>
    </row>
    <row r="16" spans="2:36" x14ac:dyDescent="0.25">
      <c r="E16" t="s">
        <v>17</v>
      </c>
      <c r="F16">
        <v>0</v>
      </c>
      <c r="G16">
        <f>$C$17/($C$18-$C$19*F16)</f>
        <v>0.34883720930232553</v>
      </c>
      <c r="H16">
        <f t="shared" ref="H16:AH16" si="4">$C$17/($C$18-$C$19*G16)</f>
        <v>0.39716748768472904</v>
      </c>
      <c r="I16">
        <f t="shared" si="4"/>
        <v>0.40494040593779607</v>
      </c>
      <c r="J16">
        <f t="shared" si="4"/>
        <v>0.4062190081621499</v>
      </c>
      <c r="K16">
        <f t="shared" si="4"/>
        <v>0.40643010492156101</v>
      </c>
      <c r="L16">
        <f t="shared" si="4"/>
        <v>0.40646497802255066</v>
      </c>
      <c r="M16">
        <f t="shared" si="4"/>
        <v>0.40647073962099717</v>
      </c>
      <c r="N16">
        <f t="shared" si="4"/>
        <v>0.40647169154566137</v>
      </c>
      <c r="O16">
        <f t="shared" si="4"/>
        <v>0.40647184882198806</v>
      </c>
      <c r="P16">
        <f t="shared" si="4"/>
        <v>0.40647187480708435</v>
      </c>
      <c r="Q16">
        <f t="shared" si="4"/>
        <v>0.40647187910032606</v>
      </c>
      <c r="R16">
        <f t="shared" si="4"/>
        <v>0.40647187980965277</v>
      </c>
      <c r="S16">
        <f t="shared" si="4"/>
        <v>0.4064718799268473</v>
      </c>
      <c r="T16">
        <f t="shared" si="4"/>
        <v>0.40647187994621015</v>
      </c>
      <c r="U16">
        <f t="shared" si="4"/>
        <v>0.40647187994940925</v>
      </c>
      <c r="V16">
        <f t="shared" si="4"/>
        <v>0.40647187994993778</v>
      </c>
      <c r="W16">
        <f t="shared" si="4"/>
        <v>0.40647187995002515</v>
      </c>
      <c r="X16">
        <f t="shared" si="4"/>
        <v>0.40647187995003953</v>
      </c>
      <c r="Y16">
        <f t="shared" si="4"/>
        <v>0.40647187995004191</v>
      </c>
      <c r="Z16">
        <f t="shared" si="4"/>
        <v>0.40647187995004236</v>
      </c>
      <c r="AA16">
        <f t="shared" si="4"/>
        <v>0.40647187995004236</v>
      </c>
      <c r="AB16">
        <f t="shared" si="4"/>
        <v>0.40647187995004236</v>
      </c>
      <c r="AC16">
        <f t="shared" si="4"/>
        <v>0.40647187995004236</v>
      </c>
      <c r="AD16">
        <f t="shared" si="4"/>
        <v>0.40647187995004236</v>
      </c>
      <c r="AE16">
        <f t="shared" si="4"/>
        <v>0.40647187995004236</v>
      </c>
      <c r="AF16">
        <f t="shared" si="4"/>
        <v>0.40647187995004236</v>
      </c>
      <c r="AG16">
        <f t="shared" si="4"/>
        <v>0.40647187995004236</v>
      </c>
      <c r="AH16">
        <f t="shared" si="4"/>
        <v>0.40647187995004236</v>
      </c>
      <c r="AI16">
        <f>$C$17/($C$18-$C$19*AH16)</f>
        <v>0.40647187995004236</v>
      </c>
      <c r="AJ16">
        <f>$C$17/($C$18-$C$19*AI16)</f>
        <v>0.40647187995004236</v>
      </c>
    </row>
    <row r="17" spans="2:36" x14ac:dyDescent="0.25">
      <c r="B17" s="1" t="s">
        <v>13</v>
      </c>
      <c r="C17" s="1">
        <f>C9/(C3^2)</f>
        <v>4139999.9999999991</v>
      </c>
      <c r="E17" t="s">
        <v>18</v>
      </c>
      <c r="F17">
        <f>F11</f>
        <v>299.99993926179997</v>
      </c>
      <c r="G17">
        <f>(F17*$C$19-G15)/($C$18-$C$19*F16)</f>
        <v>193.33329378287749</v>
      </c>
      <c r="H17">
        <f t="shared" ref="H17:AJ17" si="5">(G17*$C$19-H15)/($C$18-$C$19*G16)</f>
        <v>175.45973361822467</v>
      </c>
      <c r="I17">
        <f t="shared" si="5"/>
        <v>169.31625324547497</v>
      </c>
      <c r="J17">
        <f t="shared" si="5"/>
        <v>165.00822909475932</v>
      </c>
      <c r="K17">
        <f t="shared" si="5"/>
        <v>160.99480442411502</v>
      </c>
      <c r="L17">
        <f t="shared" si="5"/>
        <v>157.02883778520237</v>
      </c>
      <c r="M17">
        <f t="shared" si="5"/>
        <v>153.07051704704182</v>
      </c>
      <c r="N17">
        <f t="shared" si="5"/>
        <v>149.11342754050591</v>
      </c>
      <c r="O17">
        <f t="shared" si="5"/>
        <v>145.15653623126212</v>
      </c>
      <c r="P17">
        <f t="shared" si="5"/>
        <v>141.19967686339265</v>
      </c>
      <c r="Q17">
        <f t="shared" si="5"/>
        <v>137.24282269694945</v>
      </c>
      <c r="R17">
        <f t="shared" si="5"/>
        <v>133.28596943258498</v>
      </c>
      <c r="S17">
        <f t="shared" si="5"/>
        <v>129.3291163776245</v>
      </c>
      <c r="T17">
        <f t="shared" si="5"/>
        <v>125.37226341846667</v>
      </c>
      <c r="U17">
        <f t="shared" si="5"/>
        <v>121.415410534271</v>
      </c>
      <c r="V17">
        <f t="shared" si="5"/>
        <v>117.45855771891281</v>
      </c>
      <c r="W17">
        <f t="shared" si="5"/>
        <v>113.50170496847545</v>
      </c>
      <c r="X17">
        <f t="shared" si="5"/>
        <v>109.54485227925392</v>
      </c>
      <c r="Y17">
        <f t="shared" si="5"/>
        <v>105.58799964744374</v>
      </c>
      <c r="Z17">
        <f t="shared" si="5"/>
        <v>101.63114706909933</v>
      </c>
      <c r="AA17">
        <f t="shared" si="5"/>
        <v>97.674294540136245</v>
      </c>
      <c r="AB17">
        <f t="shared" si="5"/>
        <v>93.717442056340715</v>
      </c>
      <c r="AC17">
        <f t="shared" si="5"/>
        <v>89.760589613380375</v>
      </c>
      <c r="AD17">
        <f t="shared" si="5"/>
        <v>85.803737206815597</v>
      </c>
      <c r="AE17">
        <f t="shared" si="5"/>
        <v>81.846884832111229</v>
      </c>
      <c r="AF17">
        <f t="shared" si="5"/>
        <v>77.890032484648415</v>
      </c>
      <c r="AG17">
        <f t="shared" si="5"/>
        <v>73.933180159736779</v>
      </c>
      <c r="AH17">
        <f t="shared" si="5"/>
        <v>69.976327852626753</v>
      </c>
      <c r="AI17">
        <f t="shared" si="5"/>
        <v>66.019475558521975</v>
      </c>
      <c r="AJ17">
        <f t="shared" si="5"/>
        <v>62.062623272591978</v>
      </c>
    </row>
    <row r="18" spans="2:36" x14ac:dyDescent="0.25">
      <c r="B18" s="1" t="s">
        <v>14</v>
      </c>
      <c r="C18" s="1">
        <f>2*C9/(C3^2)+C8*C7/C4</f>
        <v>11867999.999999998</v>
      </c>
    </row>
    <row r="19" spans="2:36" x14ac:dyDescent="0.25">
      <c r="B19" s="1" t="s">
        <v>15</v>
      </c>
      <c r="C19" s="1">
        <f>C17</f>
        <v>4139999.9999999991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terat">
                <anchor moveWithCells="1" sizeWithCells="1">
                  <from>
                    <xdr:col>3</xdr:col>
                    <xdr:colOff>295275</xdr:colOff>
                    <xdr:row>25</xdr:row>
                    <xdr:rowOff>38100</xdr:rowOff>
                  </from>
                  <to>
                    <xdr:col>5</xdr:col>
                    <xdr:colOff>257175</xdr:colOff>
                    <xdr:row>27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1род</vt:lpstr>
      <vt:lpstr>2род</vt:lpstr>
      <vt:lpstr>1Неявн</vt:lpstr>
      <vt:lpstr>2Неявн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Chstep</dc:creator>
  <cp:lastModifiedBy>Chstep</cp:lastModifiedBy>
  <dcterms:created xsi:type="dcterms:W3CDTF">2021-03-20T15:25:01Z</dcterms:created>
  <dcterms:modified xsi:type="dcterms:W3CDTF">2021-05-23T07:46:55Z</dcterms:modified>
</cp:coreProperties>
</file>
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3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Chstep\Desktop\MKR_2\"/>
    </mc:Choice>
  </mc:AlternateContent>
  <bookViews>
    <workbookView xWindow="0" yWindow="0" windowWidth="15510" windowHeight="9600" activeTab="3"/>
  </bookViews>
  <sheets>
    <sheet name="1род" sheetId="1" r:id="rId1"/>
    <sheet name="2род" sheetId="2" r:id="rId2"/>
    <sheet name="3род" sheetId="3" r:id="rId3"/>
    <sheet name="1Неявн" sheetId="4" r:id="rId4"/>
    <sheet name="2Неявн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" i="5" l="1"/>
  <c r="F19" i="5" s="1"/>
  <c r="J14" i="5"/>
  <c r="Q14" i="5"/>
  <c r="R14" i="5"/>
  <c r="Y14" i="5"/>
  <c r="Z14" i="5"/>
  <c r="AG14" i="5"/>
  <c r="AH14" i="5"/>
  <c r="G15" i="5"/>
  <c r="F14" i="5"/>
  <c r="AI15" i="5"/>
  <c r="AH15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AJ11" i="5"/>
  <c r="AJ13" i="5" s="1"/>
  <c r="C3" i="5"/>
  <c r="C17" i="5" s="1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G13" i="3"/>
  <c r="H13" i="3"/>
  <c r="X14" i="5" l="1"/>
  <c r="H14" i="5"/>
  <c r="W14" i="5"/>
  <c r="AD14" i="5"/>
  <c r="V14" i="5"/>
  <c r="N14" i="5"/>
  <c r="AC14" i="5"/>
  <c r="U14" i="5"/>
  <c r="M14" i="5"/>
  <c r="I14" i="5"/>
  <c r="AF14" i="5"/>
  <c r="P14" i="5"/>
  <c r="AE14" i="5"/>
  <c r="O14" i="5"/>
  <c r="G14" i="5"/>
  <c r="AB14" i="5"/>
  <c r="T14" i="5"/>
  <c r="L14" i="5"/>
  <c r="AI14" i="5"/>
  <c r="AA14" i="5"/>
  <c r="S14" i="5"/>
  <c r="K14" i="5"/>
  <c r="C19" i="5"/>
  <c r="C18" i="5"/>
  <c r="G10" i="5"/>
  <c r="H10" i="5" s="1"/>
  <c r="I10" i="5" s="1"/>
  <c r="J10" i="5" s="1"/>
  <c r="K10" i="5" s="1"/>
  <c r="L10" i="5" s="1"/>
  <c r="M10" i="5" s="1"/>
  <c r="N10" i="5" s="1"/>
  <c r="O10" i="5" s="1"/>
  <c r="P10" i="5" s="1"/>
  <c r="Q10" i="5" s="1"/>
  <c r="R10" i="5" s="1"/>
  <c r="S10" i="5" s="1"/>
  <c r="T10" i="5" s="1"/>
  <c r="U10" i="5" s="1"/>
  <c r="V10" i="5" s="1"/>
  <c r="W10" i="5" s="1"/>
  <c r="X10" i="5" s="1"/>
  <c r="Y10" i="5" s="1"/>
  <c r="Z10" i="5" s="1"/>
  <c r="AA10" i="5" s="1"/>
  <c r="AB10" i="5" s="1"/>
  <c r="AC10" i="5" s="1"/>
  <c r="AD10" i="5" s="1"/>
  <c r="AE10" i="5" s="1"/>
  <c r="AF10" i="5" s="1"/>
  <c r="AG10" i="5" s="1"/>
  <c r="AH10" i="5" s="1"/>
  <c r="AI10" i="5" s="1"/>
  <c r="AJ10" i="5" s="1"/>
  <c r="G19" i="5" l="1"/>
  <c r="G17" i="5"/>
  <c r="H17" i="5" s="1"/>
  <c r="I17" i="5" l="1"/>
  <c r="H19" i="5"/>
  <c r="I19" i="5" s="1"/>
  <c r="J19" i="5" l="1"/>
  <c r="J17" i="5"/>
  <c r="K19" i="5" l="1"/>
  <c r="K17" i="5"/>
  <c r="L19" i="5" l="1"/>
  <c r="L17" i="5"/>
  <c r="M17" i="5" l="1"/>
  <c r="M19" i="5"/>
  <c r="N19" i="5" s="1"/>
  <c r="N17" i="5" l="1"/>
  <c r="O19" i="5" s="1"/>
  <c r="P19" i="5" l="1"/>
  <c r="O17" i="5"/>
  <c r="P17" i="5" l="1"/>
  <c r="Q19" i="5" s="1"/>
  <c r="Q17" i="5" l="1"/>
  <c r="R19" i="5" s="1"/>
  <c r="R17" i="5" l="1"/>
  <c r="S17" i="5" l="1"/>
  <c r="S19" i="5"/>
  <c r="T17" i="5" l="1"/>
  <c r="T19" i="5"/>
  <c r="U19" i="5" s="1"/>
  <c r="U17" i="5" l="1"/>
  <c r="V17" i="5" l="1"/>
  <c r="V19" i="5"/>
  <c r="W19" i="5" s="1"/>
  <c r="W17" i="5" l="1"/>
  <c r="X19" i="5" s="1"/>
  <c r="X17" i="5" l="1"/>
  <c r="Y17" i="5" l="1"/>
  <c r="Y19" i="5"/>
  <c r="Z19" i="5" l="1"/>
  <c r="AA19" i="5" s="1"/>
  <c r="Z17" i="5"/>
  <c r="AA17" i="5" l="1"/>
  <c r="AB19" i="5" s="1"/>
  <c r="AB17" i="5" l="1"/>
  <c r="AC17" i="5" l="1"/>
  <c r="AC19" i="5"/>
  <c r="AD19" i="5" l="1"/>
  <c r="AE19" i="5" s="1"/>
  <c r="AD17" i="5"/>
  <c r="AF19" i="5" l="1"/>
  <c r="AE17" i="5"/>
  <c r="AF17" i="5" l="1"/>
  <c r="AG17" i="5" l="1"/>
  <c r="AG19" i="5"/>
  <c r="AH19" i="5" l="1"/>
  <c r="AH17" i="5"/>
  <c r="AI17" i="5" l="1"/>
  <c r="AI19" i="5"/>
  <c r="AI13" i="5" l="1"/>
  <c r="AH13" i="5" s="1"/>
  <c r="AG13" i="5" s="1"/>
  <c r="AF13" i="5" s="1"/>
  <c r="AE13" i="5" s="1"/>
  <c r="AD13" i="5" s="1"/>
  <c r="AC13" i="5" s="1"/>
  <c r="AB13" i="5" s="1"/>
  <c r="AA13" i="5" s="1"/>
  <c r="Z13" i="5" s="1"/>
  <c r="Y13" i="5" s="1"/>
  <c r="X13" i="5" s="1"/>
  <c r="W13" i="5" s="1"/>
  <c r="V13" i="5" s="1"/>
  <c r="U13" i="5" s="1"/>
  <c r="T13" i="5" s="1"/>
  <c r="S13" i="5" s="1"/>
  <c r="R13" i="5" s="1"/>
  <c r="Q13" i="5" s="1"/>
  <c r="P13" i="5" s="1"/>
  <c r="O13" i="5" s="1"/>
  <c r="N13" i="5" s="1"/>
  <c r="M13" i="5" s="1"/>
  <c r="L13" i="5" s="1"/>
  <c r="K13" i="5" s="1"/>
  <c r="J13" i="5" s="1"/>
  <c r="I13" i="5" s="1"/>
  <c r="H13" i="5" s="1"/>
  <c r="G13" i="5" s="1"/>
  <c r="G13" i="1" l="1"/>
  <c r="Z13" i="1"/>
  <c r="I13" i="1"/>
  <c r="H13" i="1"/>
  <c r="C4" i="1" l="1"/>
  <c r="C4" i="2"/>
  <c r="G17" i="4"/>
  <c r="G15" i="4"/>
  <c r="G19" i="4" s="1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AD15" i="4"/>
  <c r="AE15" i="4"/>
  <c r="AF15" i="4"/>
  <c r="AG15" i="4"/>
  <c r="AH15" i="4"/>
  <c r="AI15" i="4"/>
  <c r="AJ13" i="4"/>
  <c r="H17" i="4"/>
  <c r="I17" i="4" s="1"/>
  <c r="F19" i="4"/>
  <c r="C18" i="4"/>
  <c r="J17" i="4" s="1"/>
  <c r="C19" i="4"/>
  <c r="C17" i="4"/>
  <c r="AJ11" i="4"/>
  <c r="F11" i="4"/>
  <c r="C3" i="4"/>
  <c r="K17" i="4" l="1"/>
  <c r="L17" i="4" s="1"/>
  <c r="M17" i="4" s="1"/>
  <c r="N17" i="4" s="1"/>
  <c r="O17" i="4" s="1"/>
  <c r="P17" i="4" s="1"/>
  <c r="Q17" i="4" s="1"/>
  <c r="R17" i="4" s="1"/>
  <c r="S17" i="4" s="1"/>
  <c r="T17" i="4" s="1"/>
  <c r="U17" i="4" s="1"/>
  <c r="V17" i="4" s="1"/>
  <c r="W17" i="4" s="1"/>
  <c r="X17" i="4" s="1"/>
  <c r="Y17" i="4" s="1"/>
  <c r="Z17" i="4" s="1"/>
  <c r="AA17" i="4" s="1"/>
  <c r="AB17" i="4" s="1"/>
  <c r="AC17" i="4" s="1"/>
  <c r="AD17" i="4" s="1"/>
  <c r="AE17" i="4" s="1"/>
  <c r="AF17" i="4" s="1"/>
  <c r="AG17" i="4" s="1"/>
  <c r="AH17" i="4" s="1"/>
  <c r="AI17" i="4" s="1"/>
  <c r="H19" i="4"/>
  <c r="I19" i="4" s="1"/>
  <c r="J19" i="4" s="1"/>
  <c r="K19" i="4" s="1"/>
  <c r="L19" i="4" s="1"/>
  <c r="M19" i="4" s="1"/>
  <c r="N19" i="4" s="1"/>
  <c r="O19" i="4" s="1"/>
  <c r="P19" i="4" s="1"/>
  <c r="Q19" i="4" s="1"/>
  <c r="R19" i="4" s="1"/>
  <c r="S19" i="4" s="1"/>
  <c r="T19" i="4" s="1"/>
  <c r="U19" i="4" s="1"/>
  <c r="V19" i="4" s="1"/>
  <c r="W19" i="4" s="1"/>
  <c r="X19" i="4" s="1"/>
  <c r="Y19" i="4" s="1"/>
  <c r="Z19" i="4" s="1"/>
  <c r="AA19" i="4" s="1"/>
  <c r="AB19" i="4" s="1"/>
  <c r="AC19" i="4" s="1"/>
  <c r="AD19" i="4" s="1"/>
  <c r="AE19" i="4" s="1"/>
  <c r="AF19" i="4" s="1"/>
  <c r="AG19" i="4" s="1"/>
  <c r="AH19" i="4" s="1"/>
  <c r="G10" i="4"/>
  <c r="H10" i="4" s="1"/>
  <c r="I10" i="4" s="1"/>
  <c r="J10" i="4" s="1"/>
  <c r="K10" i="4" s="1"/>
  <c r="L10" i="4" s="1"/>
  <c r="M10" i="4" s="1"/>
  <c r="N10" i="4" s="1"/>
  <c r="O10" i="4" s="1"/>
  <c r="P10" i="4" s="1"/>
  <c r="Q10" i="4" s="1"/>
  <c r="R10" i="4" s="1"/>
  <c r="S10" i="4" s="1"/>
  <c r="T10" i="4" s="1"/>
  <c r="U10" i="4" s="1"/>
  <c r="V10" i="4" s="1"/>
  <c r="W10" i="4" s="1"/>
  <c r="X10" i="4" s="1"/>
  <c r="Y10" i="4" s="1"/>
  <c r="Z10" i="4" s="1"/>
  <c r="AA10" i="4" s="1"/>
  <c r="AB10" i="4" s="1"/>
  <c r="AC10" i="4" s="1"/>
  <c r="AD10" i="4" s="1"/>
  <c r="AE10" i="4" s="1"/>
  <c r="AF10" i="4" s="1"/>
  <c r="AG10" i="4" s="1"/>
  <c r="AH10" i="4" s="1"/>
  <c r="AI10" i="4" s="1"/>
  <c r="AJ10" i="4" s="1"/>
  <c r="AJ11" i="3" l="1"/>
  <c r="C3" i="3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X14" i="2"/>
  <c r="Y14" i="2"/>
  <c r="Z14" i="2"/>
  <c r="AA14" i="2"/>
  <c r="AB14" i="2"/>
  <c r="AC14" i="2"/>
  <c r="AD14" i="2"/>
  <c r="AE14" i="2"/>
  <c r="AF14" i="2"/>
  <c r="AG14" i="2"/>
  <c r="AH14" i="2"/>
  <c r="AI14" i="2"/>
  <c r="C4" i="3" l="1"/>
  <c r="F11" i="3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X13" i="2"/>
  <c r="Y13" i="2"/>
  <c r="Z13" i="2"/>
  <c r="AA13" i="2"/>
  <c r="AB13" i="2"/>
  <c r="AC13" i="2"/>
  <c r="AD13" i="2"/>
  <c r="AE13" i="2"/>
  <c r="AF13" i="2"/>
  <c r="AG13" i="2"/>
  <c r="AH13" i="2"/>
  <c r="AI13" i="2"/>
  <c r="F11" i="2"/>
  <c r="G14" i="2" s="1"/>
  <c r="F14" i="2"/>
  <c r="AJ11" i="2"/>
  <c r="C3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AI10" i="2" s="1"/>
  <c r="AJ10" i="2" s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AA13" i="1"/>
  <c r="AB13" i="1"/>
  <c r="AC13" i="1"/>
  <c r="AD13" i="1"/>
  <c r="AE13" i="1"/>
  <c r="AF13" i="1"/>
  <c r="AG13" i="1"/>
  <c r="AH13" i="1"/>
  <c r="AI13" i="1"/>
  <c r="AJ11" i="1"/>
  <c r="F11" i="1"/>
  <c r="AA10" i="1"/>
  <c r="AB10" i="1"/>
  <c r="AC10" i="1" s="1"/>
  <c r="AD10" i="1" s="1"/>
  <c r="AE10" i="1" s="1"/>
  <c r="AF10" i="1" s="1"/>
  <c r="AG10" i="1" s="1"/>
  <c r="AH10" i="1" s="1"/>
  <c r="AI10" i="1" s="1"/>
  <c r="AJ10" i="1" s="1"/>
  <c r="H10" i="1"/>
  <c r="I10" i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G10" i="1"/>
  <c r="C3" i="1"/>
  <c r="G13" i="2" l="1"/>
  <c r="AI19" i="4"/>
  <c r="AI13" i="4" s="1"/>
  <c r="AH13" i="4" s="1"/>
  <c r="AG13" i="4" s="1"/>
  <c r="AF13" i="4" s="1"/>
  <c r="AE13" i="4" s="1"/>
  <c r="AD13" i="4" s="1"/>
  <c r="AC13" i="4" s="1"/>
  <c r="AB13" i="4" s="1"/>
  <c r="AA13" i="4" s="1"/>
  <c r="Z13" i="4" s="1"/>
  <c r="Y13" i="4" s="1"/>
  <c r="X13" i="4" s="1"/>
  <c r="W13" i="4" s="1"/>
  <c r="V13" i="4" s="1"/>
  <c r="U13" i="4" s="1"/>
  <c r="T13" i="4" s="1"/>
  <c r="S13" i="4" s="1"/>
  <c r="R13" i="4" s="1"/>
  <c r="Q13" i="4" s="1"/>
  <c r="P13" i="4" s="1"/>
  <c r="O13" i="4" s="1"/>
  <c r="N13" i="4" s="1"/>
  <c r="M13" i="4" s="1"/>
  <c r="L13" i="4" s="1"/>
  <c r="K13" i="4" s="1"/>
  <c r="J13" i="4" s="1"/>
  <c r="I13" i="4" s="1"/>
  <c r="H13" i="4" s="1"/>
  <c r="G13" i="4" s="1"/>
</calcChain>
</file>

<file path=xl/sharedStrings.xml><?xml version="1.0" encoding="utf-8"?>
<sst xmlns="http://schemas.openxmlformats.org/spreadsheetml/2006/main" count="76" uniqueCount="22">
  <si>
    <t>L</t>
  </si>
  <si>
    <t>dx</t>
  </si>
  <si>
    <t>dt</t>
  </si>
  <si>
    <t>t</t>
  </si>
  <si>
    <t>Cp</t>
  </si>
  <si>
    <t>ro</t>
  </si>
  <si>
    <t>lambda</t>
  </si>
  <si>
    <t>T_start</t>
  </si>
  <si>
    <t>T_end</t>
  </si>
  <si>
    <t>T</t>
  </si>
  <si>
    <t>T_i</t>
  </si>
  <si>
    <t>q</t>
  </si>
  <si>
    <t>q_start</t>
  </si>
  <si>
    <t>T_gas</t>
  </si>
  <si>
    <t>alpha</t>
  </si>
  <si>
    <t>A</t>
  </si>
  <si>
    <t>B</t>
  </si>
  <si>
    <t>C</t>
  </si>
  <si>
    <t>F_i</t>
  </si>
  <si>
    <t>alpha_i</t>
  </si>
  <si>
    <t>beta_i</t>
  </si>
  <si>
    <t>T(n+1)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</si>
</sst>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1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B-4991-B09E-2EEDF3AA1E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A-4F4F-B36A-C52F805CC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'3род'!$F$10:$AJ$10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'3род'!$F$11:$AJ$11</c:f>
              <c:numCache>
                <c:formatCode>General</c:formatCode>
                <c:ptCount val="31"/>
                <c:pt idx="0">
                  <c:v>327.04161338148651</c:v>
                </c:pt>
                <c:pt idx="1">
                  <c:v>327.04161338148651</c:v>
                </c:pt>
                <c:pt idx="2">
                  <c:v>318.70077123344061</c:v>
                </c:pt>
                <c:pt idx="3">
                  <c:v>310.39800684302708</c:v>
                </c:pt>
                <c:pt idx="4">
                  <c:v>302.13314637700455</c:v>
                </c:pt>
                <c:pt idx="5">
                  <c:v>293.90601679571824</c:v>
                </c:pt>
                <c:pt idx="6">
                  <c:v>285.71644584947688</c:v>
                </c:pt>
                <c:pt idx="7">
                  <c:v>277.56426207494667</c:v>
                </c:pt>
                <c:pt idx="8">
                  <c:v>269.44929479156104</c:v>
                </c:pt>
                <c:pt idx="9">
                  <c:v>261.37137409794735</c:v>
                </c:pt>
                <c:pt idx="10">
                  <c:v>253.33033086836974</c:v>
                </c:pt>
                <c:pt idx="11">
                  <c:v>245.32599674918805</c:v>
                </c:pt>
                <c:pt idx="12">
                  <c:v>237.35820415533308</c:v>
                </c:pt>
                <c:pt idx="13">
                  <c:v>229.42678626679785</c:v>
                </c:pt>
                <c:pt idx="14">
                  <c:v>221.53157702514505</c:v>
                </c:pt>
                <c:pt idx="15">
                  <c:v>213.67241113003027</c:v>
                </c:pt>
                <c:pt idx="16">
                  <c:v>205.849124035741</c:v>
                </c:pt>
                <c:pt idx="17">
                  <c:v>198.06155194775175</c:v>
                </c:pt>
                <c:pt idx="18">
                  <c:v>190.30953181929462</c:v>
                </c:pt>
                <c:pt idx="19">
                  <c:v>182.59290134794566</c:v>
                </c:pt>
                <c:pt idx="20">
                  <c:v>174.91149897222675</c:v>
                </c:pt>
                <c:pt idx="21">
                  <c:v>167.26516386822311</c:v>
                </c:pt>
                <c:pt idx="22">
                  <c:v>159.65373594621602</c:v>
                </c:pt>
                <c:pt idx="23">
                  <c:v>152.07705584733111</c:v>
                </c:pt>
                <c:pt idx="24">
                  <c:v>144.53496494020197</c:v>
                </c:pt>
                <c:pt idx="25">
                  <c:v>137.02730531764888</c:v>
                </c:pt>
                <c:pt idx="26">
                  <c:v>129.55391979337267</c:v>
                </c:pt>
                <c:pt idx="27">
                  <c:v>122.11465189866379</c:v>
                </c:pt>
                <c:pt idx="28">
                  <c:v>114.7093458791264</c:v>
                </c:pt>
                <c:pt idx="29">
                  <c:v>107.33784669141734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22-4F7C-855E-E0C8FACB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'1Неявн'!$F$10:$AJ$10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'1Неявн'!$F$11:$AJ$11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280.08693913290779</c:v>
                </c:pt>
                <c:pt idx="2">
                  <c:v>260.34528884307156</c:v>
                </c:pt>
                <c:pt idx="3">
                  <c:v>240.94322870396985</c:v>
                </c:pt>
                <c:pt idx="4">
                  <c:v>222.04259121089365</c:v>
                </c:pt>
                <c:pt idx="5">
                  <c:v>203.79596876432669</c:v>
                </c:pt>
                <c:pt idx="6">
                  <c:v>186.34413876917304</c:v>
                </c:pt>
                <c:pt idx="7">
                  <c:v>169.81388358198302</c:v>
                </c:pt>
                <c:pt idx="8">
                  <c:v>154.31625985996357</c:v>
                </c:pt>
                <c:pt idx="9">
                  <c:v>139.94534749959706</c:v>
                </c:pt>
                <c:pt idx="10">
                  <c:v>126.77748357718193</c:v>
                </c:pt>
                <c:pt idx="11">
                  <c:v>114.87096325508222</c:v>
                </c:pt>
                <c:pt idx="12">
                  <c:v>104.26616904525903</c:v>
                </c:pt>
                <c:pt idx="13">
                  <c:v>94.986073365012174</c:v>
                </c:pt>
                <c:pt idx="14">
                  <c:v>87.037047818685082</c:v>
                </c:pt>
                <c:pt idx="15">
                  <c:v>80.409906485303551</c:v>
                </c:pt>
                <c:pt idx="16">
                  <c:v>75.081109624202284</c:v>
                </c:pt>
                <c:pt idx="17">
                  <c:v>71.014058149603102</c:v>
                </c:pt>
                <c:pt idx="18">
                  <c:v>68.160417145848228</c:v>
                </c:pt>
                <c:pt idx="19">
                  <c:v>66.461417524955024</c:v>
                </c:pt>
                <c:pt idx="20">
                  <c:v>65.849097461429992</c:v>
                </c:pt>
                <c:pt idx="21">
                  <c:v>66.247458255201138</c:v>
                </c:pt>
                <c:pt idx="22">
                  <c:v>67.573521648220535</c:v>
                </c:pt>
                <c:pt idx="23">
                  <c:v>69.738286421168482</c:v>
                </c:pt>
                <c:pt idx="24">
                  <c:v>72.64759065221422</c:v>
                </c:pt>
                <c:pt idx="25">
                  <c:v>76.202891959402834</c:v>
                </c:pt>
                <c:pt idx="26">
                  <c:v>80.30198131052552</c:v>
                </c:pt>
                <c:pt idx="27">
                  <c:v>84.839646794335664</c:v>
                </c:pt>
                <c:pt idx="28">
                  <c:v>89.708302566510568</c:v>
                </c:pt>
                <c:pt idx="29">
                  <c:v>94.798595640746925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5B6-494E-80E8-6E1EF26F1283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'1род'!$F$10:$AJ$10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'1род'!$F$11:$AJ$11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127.80047744079765</c:v>
                </c:pt>
                <c:pt idx="11">
                  <c:v>116.51671674932982</c:v>
                </c:pt>
                <c:pt idx="12">
                  <c:v>105.23295605786197</c:v>
                </c:pt>
                <c:pt idx="13">
                  <c:v>96.561989352755049</c:v>
                </c:pt>
                <c:pt idx="14">
                  <c:v>87.891022647648128</c:v>
                </c:pt>
                <c:pt idx="15">
                  <c:v>81.842538774051832</c:v>
                </c:pt>
                <c:pt idx="16">
                  <c:v>75.794054900455549</c:v>
                </c:pt>
                <c:pt idx="17">
                  <c:v>72.261187114604226</c:v>
                </c:pt>
                <c:pt idx="18">
                  <c:v>68.728319328752917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B6-494E-80E8-6E1EF26F12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48176575264943"/>
          <c:y val="0.10366892685513272"/>
          <c:w val="0.8428605738474314"/>
          <c:h val="0.80603230440114404"/>
        </c:manualLayout>
      </c:layout>
      <c:scatterChart>
        <c:scatterStyle val="smoothMarker"/>
        <c:varyColors val="0"/>
        <c:ser>
          <c:idx val="0"/>
          <c:order val="0"/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'2Неявн'!$F$10:$AJ$10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'2Неявн'!$F$11:$AJ$11</c:f>
              <c:numCache>
                <c:formatCode>General</c:formatCode>
                <c:ptCount val="31"/>
                <c:pt idx="0">
                  <c:v>61.353917184922523</c:v>
                </c:pt>
                <c:pt idx="1">
                  <c:v>54.687250518255858</c:v>
                </c:pt>
                <c:pt idx="2">
                  <c:v>49.204531075857794</c:v>
                </c:pt>
                <c:pt idx="3">
                  <c:v>44.27032720767906</c:v>
                </c:pt>
                <c:pt idx="4">
                  <c:v>39.883001572086926</c:v>
                </c:pt>
                <c:pt idx="5">
                  <c:v>36.040564234699588</c:v>
                </c:pt>
                <c:pt idx="6">
                  <c:v>32.740798339206165</c:v>
                </c:pt>
                <c:pt idx="7">
                  <c:v>29.981384668230437</c:v>
                </c:pt>
                <c:pt idx="8">
                  <c:v>27.760007137434187</c:v>
                </c:pt>
                <c:pt idx="9">
                  <c:v>26.074420858388201</c:v>
                </c:pt>
                <c:pt idx="10">
                  <c:v>24.922465393256438</c:v>
                </c:pt>
                <c:pt idx="11">
                  <c:v>24.302008211640356</c:v>
                </c:pt>
                <c:pt idx="12">
                  <c:v>24.210807064725024</c:v>
                </c:pt>
                <c:pt idx="13">
                  <c:v>24.64628484405009</c:v>
                </c:pt>
                <c:pt idx="14">
                  <c:v>25.60521623773473</c:v>
                </c:pt>
                <c:pt idx="15">
                  <c:v>27.08333180699308</c:v>
                </c:pt>
                <c:pt idx="16">
                  <c:v>29.074851591499261</c:v>
                </c:pt>
                <c:pt idx="17">
                  <c:v>31.571966585187671</c:v>
                </c:pt>
                <c:pt idx="18">
                  <c:v>34.564291961676929</c:v>
                </c:pt>
                <c:pt idx="19">
                  <c:v>38.038320342823056</c:v>
                </c:pt>
                <c:pt idx="20">
                  <c:v>41.976906313299011</c:v>
                </c:pt>
                <c:pt idx="21">
                  <c:v>46.358814484455024</c:v>
                </c:pt>
                <c:pt idx="22">
                  <c:v>51.158362504085346</c:v>
                </c:pt>
                <c:pt idx="23">
                  <c:v>56.345187426458871</c:v>
                </c:pt>
                <c:pt idx="24">
                  <c:v>61.884158874645834</c:v>
                </c:pt>
                <c:pt idx="25">
                  <c:v>67.735455669085397</c:v>
                </c:pt>
                <c:pt idx="26">
                  <c:v>73.854814428008083</c:v>
                </c:pt>
                <c:pt idx="27">
                  <c:v>80.193949553591779</c:v>
                </c:pt>
                <c:pt idx="28">
                  <c:v>86.70113457922173</c:v>
                </c:pt>
                <c:pt idx="29">
                  <c:v>93.321925693270089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1B-461C-A0B2-275EE2DABC0E}"/>
            </c:ext>
          </c:extLst>
        </c:ser>
        <c:ser>
          <c:idx val="1"/>
          <c:order val="1"/>
          <c:tx>
            <c:v>явная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'2род'!$F$10:$AJ$10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'2род'!$F$11:$AJ$11</c:f>
              <c:numCache>
                <c:formatCode>General</c:formatCode>
                <c:ptCount val="31"/>
                <c:pt idx="0">
                  <c:v>68.622579106938403</c:v>
                </c:pt>
                <c:pt idx="1">
                  <c:v>61.955912440271732</c:v>
                </c:pt>
                <c:pt idx="2">
                  <c:v>55.85372945331077</c:v>
                </c:pt>
                <c:pt idx="3">
                  <c:v>50.364250466999231</c:v>
                </c:pt>
                <c:pt idx="4">
                  <c:v>45.389830428497746</c:v>
                </c:pt>
                <c:pt idx="5">
                  <c:v>41.075873342617733</c:v>
                </c:pt>
                <c:pt idx="6">
                  <c:v>37.225859776676351</c:v>
                </c:pt>
                <c:pt idx="7">
                  <c:v>34.084080327235384</c:v>
                </c:pt>
                <c:pt idx="8">
                  <c:v>31.353519217340107</c:v>
                </c:pt>
                <c:pt idx="9">
                  <c:v>29.37852764331652</c:v>
                </c:pt>
                <c:pt idx="10">
                  <c:v>27.761142666822828</c:v>
                </c:pt>
                <c:pt idx="11">
                  <c:v>26.944233359967292</c:v>
                </c:pt>
                <c:pt idx="12">
                  <c:v>26.431675822450941</c:v>
                </c:pt>
                <c:pt idx="13">
                  <c:v>26.758125876994253</c:v>
                </c:pt>
                <c:pt idx="14">
                  <c:v>27.33754823626882</c:v>
                </c:pt>
                <c:pt idx="15">
                  <c:v>28.782232341294485</c:v>
                </c:pt>
                <c:pt idx="16">
                  <c:v>30.431892466586447</c:v>
                </c:pt>
                <c:pt idx="17">
                  <c:v>32.953435301326735</c:v>
                </c:pt>
                <c:pt idx="18">
                  <c:v>35.636583276491635</c:v>
                </c:pt>
                <c:pt idx="19">
                  <c:v>39.17081758309692</c:v>
                </c:pt>
                <c:pt idx="20">
                  <c:v>42.828709626888624</c:v>
                </c:pt>
                <c:pt idx="21">
                  <c:v>47.282665364806249</c:v>
                </c:pt>
                <c:pt idx="22">
                  <c:v>51.828023620698403</c:v>
                </c:pt>
                <c:pt idx="23">
                  <c:v>57.07588581391984</c:v>
                </c:pt>
                <c:pt idx="24">
                  <c:v>62.38832744874248</c:v>
                </c:pt>
                <c:pt idx="25">
                  <c:v>68.270667505323729</c:v>
                </c:pt>
                <c:pt idx="26">
                  <c:v>74.195470880658718</c:v>
                </c:pt>
                <c:pt idx="27">
                  <c:v>80.522568431961048</c:v>
                </c:pt>
                <c:pt idx="28">
                  <c:v>86.873628668147461</c:v>
                </c:pt>
                <c:pt idx="29">
                  <c:v>93.432949248989871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1B-461C-A0B2-275EE2DABC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433008"/>
        <c:axId val="366427432"/>
      </c:scatterChart>
      <c:valAx>
        <c:axId val="366433008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27432"/>
        <c:crosses val="autoZero"/>
        <c:crossBetween val="midCat"/>
      </c:valAx>
      <c:valAx>
        <c:axId val="366427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6433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49831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918517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18</xdr:row>
          <xdr:rowOff>57150</xdr:rowOff>
        </xdr:from>
        <xdr:to>
          <xdr:col>4</xdr:col>
          <xdr:colOff>0</xdr:colOff>
          <xdr:row>20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622617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866810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27213</xdr:colOff>
      <xdr:row>18</xdr:row>
      <xdr:rowOff>81643</xdr:rowOff>
    </xdr:from>
    <xdr:to>
      <xdr:col>20</xdr:col>
      <xdr:colOff>557891</xdr:colOff>
      <xdr:row>39</xdr:row>
      <xdr:rowOff>190498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526617</xdr:colOff>
      <xdr:row>20</xdr:row>
      <xdr:rowOff>27216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822642" y="383721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19</xdr:col>
      <xdr:colOff>284410</xdr:colOff>
      <xdr:row>38</xdr:row>
      <xdr:rowOff>111580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2066835" y="7350580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17</xdr:row>
          <xdr:rowOff>66675</xdr:rowOff>
        </xdr:from>
        <xdr:to>
          <xdr:col>5</xdr:col>
          <xdr:colOff>200025</xdr:colOff>
          <xdr:row>21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Запуск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59331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73589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190500</xdr:colOff>
      <xdr:row>26</xdr:row>
      <xdr:rowOff>27214</xdr:rowOff>
    </xdr:from>
    <xdr:to>
      <xdr:col>20</xdr:col>
      <xdr:colOff>108856</xdr:colOff>
      <xdr:row>47</xdr:row>
      <xdr:rowOff>136069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132010</xdr:colOff>
      <xdr:row>27</xdr:row>
      <xdr:rowOff>176895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 [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3" name="TextBox 2"/>
            <xdr:cNvSpPr txBox="1"/>
          </xdr:nvSpPr>
          <xdr:spPr>
            <a:xfrm>
              <a:off x="6428035" y="5320395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𝑇, [𝐶]</a:t>
              </a:r>
              <a:endParaRPr lang="ru-RU" sz="1400"/>
            </a:p>
          </xdr:txBody>
        </xdr:sp>
      </mc:Fallback>
    </mc:AlternateContent>
    <xdr:clientData/>
  </xdr:oneCellAnchor>
  <xdr:oneCellAnchor>
    <xdr:from>
      <xdr:col>18</xdr:col>
      <xdr:colOff>447696</xdr:colOff>
      <xdr:row>46</xdr:row>
      <xdr:rowOff>84366</xdr:rowOff>
    </xdr:from>
    <xdr:ext cx="941488" cy="2191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,</m:t>
                    </m:r>
                    <m:r>
                      <a:rPr lang="en-US" sz="1400" b="0" i="1">
                        <a:latin typeface="Cambria Math" panose="02040503050406030204" pitchFamily="18" charset="0"/>
                      </a:rPr>
                      <m:t>𝑚</m:t>
                    </m:r>
                  </m:oMath>
                </m:oMathPara>
              </a14:m>
              <a:endParaRPr lang="ru-RU" sz="1400"/>
            </a:p>
          </xdr:txBody>
        </xdr:sp>
      </mc:Choice>
      <mc:Fallback xmlns="">
        <xdr:sp macro="" textlink="">
          <xdr:nvSpPr>
            <xdr:cNvPr id="4" name="TextBox 3"/>
            <xdr:cNvSpPr txBox="1"/>
          </xdr:nvSpPr>
          <xdr:spPr>
            <a:xfrm>
              <a:off x="11620521" y="8847366"/>
              <a:ext cx="941488" cy="219163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sz="1400" b="0" i="0">
                  <a:latin typeface="Cambria Math" panose="02040503050406030204" pitchFamily="18" charset="0"/>
                </a:rPr>
                <a:t>𝐿,𝑚</a:t>
              </a:r>
              <a:endParaRPr lang="ru-RU" sz="14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295275</xdr:colOff>
          <xdr:row>25</xdr:row>
          <xdr:rowOff>38100</xdr:rowOff>
        </xdr:from>
        <xdr:to>
          <xdr:col>5</xdr:col>
          <xdr:colOff>257175</xdr:colOff>
          <xdr:row>27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B2:AN13"/>
  <sheetViews>
    <sheetView zoomScale="70" zoomScaleNormal="70" workbookViewId="0">
      <selection activeCell="G11" sqref="G11:AI11"/>
    </sheetView>
  </sheetViews>
  <sheetFormatPr defaultRowHeight="15" x14ac:dyDescent="0.25"/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280.34602914679897</v>
      </c>
      <c r="H11">
        <v>260.69205829359794</v>
      </c>
      <c r="I11">
        <v>241.69187227593491</v>
      </c>
      <c r="J11">
        <v>222.69168625827183</v>
      </c>
      <c r="K11">
        <v>204.95390631913148</v>
      </c>
      <c r="L11">
        <v>187.21612637999107</v>
      </c>
      <c r="M11">
        <v>171.26453784334268</v>
      </c>
      <c r="N11">
        <v>155.31294930669429</v>
      </c>
      <c r="O11">
        <v>141.55671337374599</v>
      </c>
      <c r="P11">
        <v>127.80047744079765</v>
      </c>
      <c r="Q11">
        <v>116.51671674932982</v>
      </c>
      <c r="R11">
        <v>105.23295605786197</v>
      </c>
      <c r="S11">
        <v>96.561989352755049</v>
      </c>
      <c r="T11">
        <v>87.891022647648128</v>
      </c>
      <c r="U11">
        <v>81.842538774051832</v>
      </c>
      <c r="V11">
        <v>75.794054900455549</v>
      </c>
      <c r="W11">
        <v>72.261187114604226</v>
      </c>
      <c r="X11">
        <v>68.728319328752917</v>
      </c>
      <c r="Y11">
        <v>67.506108522455037</v>
      </c>
      <c r="Z11">
        <v>66.283897716157142</v>
      </c>
      <c r="AA11">
        <v>67.088962026000345</v>
      </c>
      <c r="AB11">
        <v>67.894026335843549</v>
      </c>
      <c r="AC11">
        <v>70.383127200086093</v>
      </c>
      <c r="AD11">
        <v>72.872228064328638</v>
      </c>
      <c r="AE11">
        <v>76.658491877071754</v>
      </c>
      <c r="AF11">
        <v>80.444755689814855</v>
      </c>
      <c r="AG11">
        <v>85.111263870845988</v>
      </c>
      <c r="AH11">
        <v>89.777772051877108</v>
      </c>
      <c r="AI11">
        <v>94.888886025938547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280.34602914679897</v>
      </c>
      <c r="H13">
        <f>H11+(($C$9*$C$4)/($C$8*$C$7))*((I11-2*H11+G11)/($C$3^2))</f>
        <v>261.01895071136693</v>
      </c>
      <c r="I13">
        <f>I11+(($C$9*$C$4)/($C$8*$C$7))*((J11-2*I11+H11)/($C$3^2))</f>
        <v>241.69187227593488</v>
      </c>
      <c r="J13">
        <f t="shared" ref="J13:AI13" si="1">J11+(($C$9*$C$4)/($C$8*$C$7))*((K11-2*J11+I11)/($C$3^2))</f>
        <v>223.32288929753321</v>
      </c>
      <c r="K13">
        <f t="shared" si="1"/>
        <v>204.95390631913145</v>
      </c>
      <c r="L13">
        <f t="shared" si="1"/>
        <v>188.10922208123708</v>
      </c>
      <c r="M13">
        <f t="shared" si="1"/>
        <v>171.26453784334268</v>
      </c>
      <c r="N13">
        <f t="shared" si="1"/>
        <v>156.41062560854434</v>
      </c>
      <c r="O13">
        <f t="shared" si="1"/>
        <v>141.55671337374596</v>
      </c>
      <c r="P13">
        <f t="shared" si="1"/>
        <v>129.0367150615379</v>
      </c>
      <c r="Q13">
        <f t="shared" si="1"/>
        <v>116.51671674932982</v>
      </c>
      <c r="R13">
        <f t="shared" si="1"/>
        <v>106.53935305104244</v>
      </c>
      <c r="S13">
        <f t="shared" si="1"/>
        <v>96.561989352755049</v>
      </c>
      <c r="T13">
        <f t="shared" si="1"/>
        <v>89.202264063403447</v>
      </c>
      <c r="U13">
        <f t="shared" si="1"/>
        <v>81.842538774051832</v>
      </c>
      <c r="V13">
        <f t="shared" si="1"/>
        <v>77.051862944328036</v>
      </c>
      <c r="W13">
        <f t="shared" si="1"/>
        <v>72.26118711460424</v>
      </c>
      <c r="X13">
        <f t="shared" si="1"/>
        <v>69.883647818529624</v>
      </c>
      <c r="Y13">
        <f t="shared" si="1"/>
        <v>67.506108522455037</v>
      </c>
      <c r="Z13">
        <f>Z11+(($C$9*$C$4)/($C$8*$C$7))*((AA11-2*Z11+Y11)/($C$3^2))</f>
        <v>67.297535274227698</v>
      </c>
      <c r="AA13">
        <f t="shared" si="1"/>
        <v>67.088962026000345</v>
      </c>
      <c r="AB13">
        <f t="shared" si="1"/>
        <v>68.736044613043219</v>
      </c>
      <c r="AC13">
        <f t="shared" si="1"/>
        <v>70.383127200086093</v>
      </c>
      <c r="AD13">
        <f t="shared" si="1"/>
        <v>73.520809538578931</v>
      </c>
      <c r="AE13">
        <f t="shared" si="1"/>
        <v>76.658491877071754</v>
      </c>
      <c r="AF13">
        <f t="shared" si="1"/>
        <v>80.884877873958871</v>
      </c>
      <c r="AG13">
        <f t="shared" si="1"/>
        <v>85.111263870845988</v>
      </c>
      <c r="AH13">
        <f t="shared" si="1"/>
        <v>90.000074948392268</v>
      </c>
      <c r="AI13">
        <f t="shared" si="1"/>
        <v>94.888886025938547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terat">
                <anchor moveWithCells="1" sizeWithCells="1">
                  <from>
                    <xdr:col>2</xdr:col>
                    <xdr:colOff>9525</xdr:colOff>
                    <xdr:row>18</xdr:row>
                    <xdr:rowOff>57150</xdr:rowOff>
                  </from>
                  <to>
                    <xdr:col>4</xdr:col>
                    <xdr:colOff>0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AN14"/>
  <sheetViews>
    <sheetView zoomScale="70" zoomScaleNormal="70" workbookViewId="0">
      <selection activeCell="G11" sqref="G11:AI11"/>
    </sheetView>
  </sheetViews>
  <sheetFormatPr defaultRowHeight="15" x14ac:dyDescent="0.25"/>
  <cols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12</v>
      </c>
      <c r="C11" s="1">
        <v>92000</v>
      </c>
      <c r="E11" t="s">
        <v>9</v>
      </c>
      <c r="F11">
        <f>(F14/C9)*C3+G11</f>
        <v>68.622579106938403</v>
      </c>
      <c r="G11">
        <v>61.955912440271732</v>
      </c>
      <c r="H11">
        <v>55.85372945331077</v>
      </c>
      <c r="I11">
        <v>50.364250466999231</v>
      </c>
      <c r="J11">
        <v>45.389830428497746</v>
      </c>
      <c r="K11">
        <v>41.075873342617733</v>
      </c>
      <c r="L11">
        <v>37.225859776676351</v>
      </c>
      <c r="M11">
        <v>34.084080327235384</v>
      </c>
      <c r="N11">
        <v>31.353519217340107</v>
      </c>
      <c r="O11">
        <v>29.37852764331652</v>
      </c>
      <c r="P11">
        <v>27.761142666822828</v>
      </c>
      <c r="Q11">
        <v>26.944233359967292</v>
      </c>
      <c r="R11">
        <v>26.431675822450941</v>
      </c>
      <c r="S11">
        <v>26.758125876994253</v>
      </c>
      <c r="T11">
        <v>27.33754823626882</v>
      </c>
      <c r="U11">
        <v>28.782232341294485</v>
      </c>
      <c r="V11">
        <v>30.431892466586447</v>
      </c>
      <c r="W11">
        <v>32.953435301326735</v>
      </c>
      <c r="X11">
        <v>35.636583276491635</v>
      </c>
      <c r="Y11">
        <v>39.17081758309692</v>
      </c>
      <c r="Z11">
        <v>42.828709626888624</v>
      </c>
      <c r="AA11">
        <v>47.282665364806249</v>
      </c>
      <c r="AB11">
        <v>51.828023620698403</v>
      </c>
      <c r="AC11">
        <v>57.07588581391984</v>
      </c>
      <c r="AD11">
        <v>62.38832744874248</v>
      </c>
      <c r="AE11">
        <v>68.270667505323729</v>
      </c>
      <c r="AF11">
        <v>74.195470880658718</v>
      </c>
      <c r="AG11">
        <v>80.522568431961048</v>
      </c>
      <c r="AH11">
        <v>86.873628668147461</v>
      </c>
      <c r="AI11">
        <v>93.432949248989871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G11+(($C$9*$C$4)/($C$8*$C$7))*((H11-2*G11+F11)/($C$3^2))</f>
        <v>62.238154280124583</v>
      </c>
      <c r="H13">
        <f t="shared" ref="H13:AI13" si="1">H11+(($C$9*$C$4)/($C$8*$C$7))*((I11-2*H11+G11)/($C$3^2))</f>
        <v>56.160081453635485</v>
      </c>
      <c r="I13">
        <f t="shared" si="1"/>
        <v>50.621779940904261</v>
      </c>
      <c r="J13">
        <f t="shared" si="1"/>
        <v>45.720061904808482</v>
      </c>
      <c r="K13">
        <f t="shared" si="1"/>
        <v>41.307845102587052</v>
      </c>
      <c r="L13">
        <f t="shared" si="1"/>
        <v>37.579976834926555</v>
      </c>
      <c r="M13">
        <f t="shared" si="1"/>
        <v>34.289689497008226</v>
      </c>
      <c r="N13">
        <f t="shared" si="1"/>
        <v>31.73130398527595</v>
      </c>
      <c r="O13">
        <f t="shared" si="1"/>
        <v>29.557330942081467</v>
      </c>
      <c r="P13">
        <f t="shared" si="1"/>
        <v>28.161380501641904</v>
      </c>
      <c r="Q13">
        <f t="shared" si="1"/>
        <v>27.096409244636884</v>
      </c>
      <c r="R13">
        <f t="shared" si="1"/>
        <v>26.851179618480771</v>
      </c>
      <c r="S13">
        <f t="shared" si="1"/>
        <v>26.884612029359879</v>
      </c>
      <c r="T13">
        <f t="shared" si="1"/>
        <v>27.770179109144369</v>
      </c>
      <c r="U13">
        <f t="shared" si="1"/>
        <v>28.884720351427632</v>
      </c>
      <c r="V13">
        <f t="shared" si="1"/>
        <v>30.867833821310612</v>
      </c>
      <c r="W13">
        <f t="shared" si="1"/>
        <v>33.034237871539041</v>
      </c>
      <c r="X13">
        <f t="shared" si="1"/>
        <v>36.062126442211827</v>
      </c>
      <c r="Y13">
        <f t="shared" si="1"/>
        <v>39.23264645169013</v>
      </c>
      <c r="Z13">
        <f t="shared" si="1"/>
        <v>43.226741473951584</v>
      </c>
      <c r="AA13">
        <f t="shared" si="1"/>
        <v>47.328366623793514</v>
      </c>
      <c r="AB13">
        <f t="shared" si="1"/>
        <v>52.179275589363044</v>
      </c>
      <c r="AC13">
        <f t="shared" si="1"/>
        <v>57.108175534720445</v>
      </c>
      <c r="AD13">
        <f t="shared" si="1"/>
        <v>62.673276659621784</v>
      </c>
      <c r="AE13">
        <f t="shared" si="1"/>
        <v>68.291899164700595</v>
      </c>
      <c r="AF13">
        <f t="shared" si="1"/>
        <v>74.396617968642389</v>
      </c>
      <c r="AG13">
        <f t="shared" si="1"/>
        <v>80.534549774403089</v>
      </c>
      <c r="AH13">
        <f t="shared" si="1"/>
        <v>86.97775884047546</v>
      </c>
      <c r="AI13">
        <f t="shared" si="1"/>
        <v>93.43681433407373</v>
      </c>
    </row>
    <row r="14" spans="2:40" x14ac:dyDescent="0.25">
      <c r="E14" t="s">
        <v>11</v>
      </c>
      <c r="F14">
        <f>C11</f>
        <v>92000</v>
      </c>
      <c r="G14">
        <f>-$C$9*((G11-F11)/$C$3)</f>
        <v>92000.000000000058</v>
      </c>
      <c r="H14">
        <f t="shared" ref="H14:AI14" si="2">-$C$9*((H11-G11)/$C$3)</f>
        <v>84210.125220061265</v>
      </c>
      <c r="I14">
        <f t="shared" si="2"/>
        <v>75754.810011099238</v>
      </c>
      <c r="J14">
        <f t="shared" si="2"/>
        <v>68646.996531320488</v>
      </c>
      <c r="K14">
        <f t="shared" si="2"/>
        <v>59532.607785144166</v>
      </c>
      <c r="L14">
        <f t="shared" si="2"/>
        <v>53130.187209991054</v>
      </c>
      <c r="M14">
        <f t="shared" si="2"/>
        <v>43356.55640228535</v>
      </c>
      <c r="N14">
        <f t="shared" si="2"/>
        <v>37681.743316554814</v>
      </c>
      <c r="O14">
        <f t="shared" si="2"/>
        <v>27254.883721525497</v>
      </c>
      <c r="P14">
        <f t="shared" si="2"/>
        <v>22319.912675612955</v>
      </c>
      <c r="Q14">
        <f t="shared" si="2"/>
        <v>11273.348434606389</v>
      </c>
      <c r="R14">
        <f t="shared" si="2"/>
        <v>7073.2940177256396</v>
      </c>
      <c r="S14">
        <f t="shared" si="2"/>
        <v>-4505.010752697699</v>
      </c>
      <c r="T14">
        <f t="shared" si="2"/>
        <v>-7996.0285579890196</v>
      </c>
      <c r="U14">
        <f t="shared" si="2"/>
        <v>-19936.640649354176</v>
      </c>
      <c r="V14">
        <f t="shared" si="2"/>
        <v>-22765.309729029079</v>
      </c>
      <c r="W14">
        <f t="shared" si="2"/>
        <v>-34797.291119415968</v>
      </c>
      <c r="X14">
        <f t="shared" si="2"/>
        <v>-37027.442057275621</v>
      </c>
      <c r="Y14">
        <f t="shared" si="2"/>
        <v>-48772.433431152931</v>
      </c>
      <c r="Z14">
        <f t="shared" si="2"/>
        <v>-50478.910204325526</v>
      </c>
      <c r="AA14">
        <f t="shared" si="2"/>
        <v>-61464.589183263219</v>
      </c>
      <c r="AB14">
        <f t="shared" si="2"/>
        <v>-62725.943931311725</v>
      </c>
      <c r="AC14">
        <f t="shared" si="2"/>
        <v>-72420.498266455819</v>
      </c>
      <c r="AD14">
        <f t="shared" si="2"/>
        <v>-73311.694560552438</v>
      </c>
      <c r="AE14">
        <f t="shared" si="2"/>
        <v>-81176.292780821226</v>
      </c>
      <c r="AF14">
        <f t="shared" si="2"/>
        <v>-81762.286579622829</v>
      </c>
      <c r="AG14">
        <f t="shared" si="2"/>
        <v>-87313.946207972156</v>
      </c>
      <c r="AH14">
        <f t="shared" si="2"/>
        <v>-87644.631259372487</v>
      </c>
      <c r="AI14">
        <f t="shared" si="2"/>
        <v>-90518.624015625261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B2:AN14"/>
  <sheetViews>
    <sheetView topLeftCell="A6" zoomScale="70" zoomScaleNormal="70" workbookViewId="0">
      <selection activeCell="V39" sqref="V39"/>
    </sheetView>
  </sheetViews>
  <sheetFormatPr defaultRowHeight="15" x14ac:dyDescent="0.25"/>
  <cols>
    <col min="6" max="6" width="10.28515625" bestFit="1" customWidth="1"/>
    <col min="7" max="7" width="12.140625" bestFit="1" customWidth="1"/>
  </cols>
  <sheetData>
    <row r="2" spans="2:40" x14ac:dyDescent="0.25">
      <c r="B2" s="1" t="s">
        <v>0</v>
      </c>
      <c r="C2" s="1">
        <v>0.1</v>
      </c>
    </row>
    <row r="3" spans="2:40" x14ac:dyDescent="0.25">
      <c r="B3" s="1" t="s">
        <v>1</v>
      </c>
      <c r="C3" s="1">
        <f>C2/30</f>
        <v>3.3333333333333335E-3</v>
      </c>
    </row>
    <row r="4" spans="2:40" x14ac:dyDescent="0.25">
      <c r="B4" s="1" t="s">
        <v>2</v>
      </c>
      <c r="C4" s="1">
        <f>(C7*C8*C3^2)/(2*C9)</f>
        <v>0.4333333333333334</v>
      </c>
    </row>
    <row r="5" spans="2:40" x14ac:dyDescent="0.25">
      <c r="B5" s="1" t="s">
        <v>3</v>
      </c>
      <c r="C5" s="1">
        <v>60</v>
      </c>
      <c r="D5">
        <v>60.233333333333341</v>
      </c>
      <c r="AN5">
        <v>500.43333333333334</v>
      </c>
    </row>
    <row r="7" spans="2:40" x14ac:dyDescent="0.25">
      <c r="B7" s="1" t="s">
        <v>4</v>
      </c>
      <c r="C7" s="1">
        <v>460</v>
      </c>
    </row>
    <row r="8" spans="2:40" x14ac:dyDescent="0.25">
      <c r="B8" s="1" t="s">
        <v>5</v>
      </c>
      <c r="C8" s="1">
        <v>7800</v>
      </c>
    </row>
    <row r="9" spans="2:40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40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40" x14ac:dyDescent="0.25">
      <c r="B11" s="1" t="s">
        <v>13</v>
      </c>
      <c r="C11" s="1">
        <v>1500</v>
      </c>
      <c r="E11" t="s">
        <v>9</v>
      </c>
      <c r="F11">
        <f>(F14/C9)*C3+G11</f>
        <v>327.04161338148651</v>
      </c>
      <c r="G11">
        <v>327.04161338148651</v>
      </c>
      <c r="H11">
        <v>318.70077123344061</v>
      </c>
      <c r="I11">
        <v>310.39800684302708</v>
      </c>
      <c r="J11">
        <v>302.13314637700455</v>
      </c>
      <c r="K11">
        <v>293.90601679571824</v>
      </c>
      <c r="L11">
        <v>285.71644584947688</v>
      </c>
      <c r="M11">
        <v>277.56426207494667</v>
      </c>
      <c r="N11">
        <v>269.44929479156104</v>
      </c>
      <c r="O11">
        <v>261.37137409794735</v>
      </c>
      <c r="P11">
        <v>253.33033086836974</v>
      </c>
      <c r="Q11">
        <v>245.32599674918805</v>
      </c>
      <c r="R11">
        <v>237.35820415533308</v>
      </c>
      <c r="S11">
        <v>229.42678626679785</v>
      </c>
      <c r="T11">
        <v>221.53157702514505</v>
      </c>
      <c r="U11">
        <v>213.67241113003027</v>
      </c>
      <c r="V11">
        <v>205.849124035741</v>
      </c>
      <c r="W11">
        <v>198.06155194775175</v>
      </c>
      <c r="X11">
        <v>190.30953181929462</v>
      </c>
      <c r="Y11">
        <v>182.59290134794566</v>
      </c>
      <c r="Z11">
        <v>174.91149897222675</v>
      </c>
      <c r="AA11">
        <v>167.26516386822311</v>
      </c>
      <c r="AB11">
        <v>159.65373594621602</v>
      </c>
      <c r="AC11">
        <v>152.07705584733111</v>
      </c>
      <c r="AD11">
        <v>144.53496494020197</v>
      </c>
      <c r="AE11">
        <v>137.02730531764888</v>
      </c>
      <c r="AF11">
        <v>129.55391979337267</v>
      </c>
      <c r="AG11">
        <v>122.11465189866379</v>
      </c>
      <c r="AH11">
        <v>114.7093458791264</v>
      </c>
      <c r="AI11">
        <v>107.33784669141734</v>
      </c>
      <c r="AJ11">
        <f>C12</f>
        <v>100</v>
      </c>
    </row>
    <row r="12" spans="2:40" x14ac:dyDescent="0.25">
      <c r="B12" s="1" t="s">
        <v>8</v>
      </c>
      <c r="C12" s="1">
        <v>100</v>
      </c>
    </row>
    <row r="13" spans="2:40" x14ac:dyDescent="0.25">
      <c r="E13" t="s">
        <v>10</v>
      </c>
      <c r="G13">
        <f>(-$C$9*H11-$C$3*$C$14*$C$11)/($C$3*$C$14-$C$9)</f>
        <v>327.04161338148651</v>
      </c>
      <c r="H13">
        <f>(-$C$9*I11-$C$3*$C$14*$C$11)/($C$3*$C$14-$C$9)</f>
        <v>318.70077123344061</v>
      </c>
      <c r="I13">
        <f t="shared" ref="I13:AI13" si="1">(-$C$9*J11-$C$3*$C$14*$C$11)/($C$3*$C$14-$C$9)</f>
        <v>310.39800684302708</v>
      </c>
      <c r="J13">
        <f t="shared" si="1"/>
        <v>302.13314637700455</v>
      </c>
      <c r="K13">
        <f t="shared" si="1"/>
        <v>293.90601679571824</v>
      </c>
      <c r="L13">
        <f t="shared" si="1"/>
        <v>285.71644584947688</v>
      </c>
      <c r="M13">
        <f t="shared" si="1"/>
        <v>277.56426207494667</v>
      </c>
      <c r="N13">
        <f t="shared" si="1"/>
        <v>269.44929479156104</v>
      </c>
      <c r="O13">
        <f t="shared" si="1"/>
        <v>261.37137409794735</v>
      </c>
      <c r="P13">
        <f t="shared" si="1"/>
        <v>253.33033086836974</v>
      </c>
      <c r="Q13">
        <f t="shared" si="1"/>
        <v>245.32599674918805</v>
      </c>
      <c r="R13">
        <f t="shared" si="1"/>
        <v>237.35820415533308</v>
      </c>
      <c r="S13">
        <f t="shared" si="1"/>
        <v>229.42678626679785</v>
      </c>
      <c r="T13">
        <f t="shared" si="1"/>
        <v>221.53157702514505</v>
      </c>
      <c r="U13">
        <f t="shared" si="1"/>
        <v>213.67241113003027</v>
      </c>
      <c r="V13">
        <f t="shared" si="1"/>
        <v>205.849124035741</v>
      </c>
      <c r="W13">
        <f t="shared" si="1"/>
        <v>198.06155194775175</v>
      </c>
      <c r="X13">
        <f t="shared" si="1"/>
        <v>190.30953181929462</v>
      </c>
      <c r="Y13">
        <f t="shared" si="1"/>
        <v>182.59290134794566</v>
      </c>
      <c r="Z13">
        <f t="shared" si="1"/>
        <v>174.91149897222675</v>
      </c>
      <c r="AA13">
        <f t="shared" si="1"/>
        <v>167.26516386822311</v>
      </c>
      <c r="AB13">
        <f t="shared" si="1"/>
        <v>159.65373594621602</v>
      </c>
      <c r="AC13">
        <f t="shared" si="1"/>
        <v>152.07705584733111</v>
      </c>
      <c r="AD13">
        <f t="shared" si="1"/>
        <v>144.53496494020197</v>
      </c>
      <c r="AE13">
        <f t="shared" si="1"/>
        <v>137.02730531764888</v>
      </c>
      <c r="AF13">
        <f t="shared" si="1"/>
        <v>129.55391979337267</v>
      </c>
      <c r="AG13">
        <f t="shared" si="1"/>
        <v>122.11465189866379</v>
      </c>
      <c r="AH13">
        <f t="shared" si="1"/>
        <v>114.7093458791264</v>
      </c>
      <c r="AI13">
        <f t="shared" si="1"/>
        <v>107.33784669141734</v>
      </c>
    </row>
    <row r="14" spans="2:40" x14ac:dyDescent="0.25">
      <c r="B14" s="1" t="s">
        <v>14</v>
      </c>
      <c r="C14" s="1">
        <v>63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iterat">
                <anchor moveWithCells="1" sizeWithCells="1">
                  <from>
                    <xdr:col>1</xdr:col>
                    <xdr:colOff>228600</xdr:colOff>
                    <xdr:row>17</xdr:row>
                    <xdr:rowOff>66675</xdr:rowOff>
                  </from>
                  <to>
                    <xdr:col>5</xdr:col>
                    <xdr:colOff>200025</xdr:colOff>
                    <xdr:row>21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B2:AJ21"/>
  <sheetViews>
    <sheetView tabSelected="1" topLeftCell="C11" zoomScale="70" zoomScaleNormal="70" workbookViewId="0">
      <selection activeCell="V35" sqref="V35"/>
    </sheetView>
  </sheetViews>
  <sheetFormatPr defaultRowHeight="15" x14ac:dyDescent="0.25"/>
  <cols>
    <col min="7" max="7" width="12.140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60</v>
      </c>
      <c r="D5">
        <v>60</v>
      </c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7</v>
      </c>
      <c r="C11" s="1">
        <v>300</v>
      </c>
      <c r="E11" t="s">
        <v>9</v>
      </c>
      <c r="F11">
        <f>C11</f>
        <v>300</v>
      </c>
      <c r="G11">
        <v>280.08693913290779</v>
      </c>
      <c r="H11">
        <v>260.34528884307156</v>
      </c>
      <c r="I11">
        <v>240.94322870396985</v>
      </c>
      <c r="J11">
        <v>222.04259121089365</v>
      </c>
      <c r="K11">
        <v>203.79596876432669</v>
      </c>
      <c r="L11">
        <v>186.34413876917304</v>
      </c>
      <c r="M11">
        <v>169.81388358198302</v>
      </c>
      <c r="N11">
        <v>154.31625985996357</v>
      </c>
      <c r="O11">
        <v>139.94534749959706</v>
      </c>
      <c r="P11">
        <v>126.77748357718193</v>
      </c>
      <c r="Q11">
        <v>114.87096325508222</v>
      </c>
      <c r="R11">
        <v>104.26616904525903</v>
      </c>
      <c r="S11">
        <v>94.986073365012174</v>
      </c>
      <c r="T11">
        <v>87.037047818685082</v>
      </c>
      <c r="U11">
        <v>80.409906485303551</v>
      </c>
      <c r="V11">
        <v>75.081109624202284</v>
      </c>
      <c r="W11">
        <v>71.014058149603102</v>
      </c>
      <c r="X11">
        <v>68.160417145848228</v>
      </c>
      <c r="Y11">
        <v>66.461417524955024</v>
      </c>
      <c r="Z11">
        <v>65.849097461429992</v>
      </c>
      <c r="AA11">
        <v>66.247458255201138</v>
      </c>
      <c r="AB11">
        <v>67.573521648220535</v>
      </c>
      <c r="AC11">
        <v>69.738286421168482</v>
      </c>
      <c r="AD11">
        <v>72.64759065221422</v>
      </c>
      <c r="AE11">
        <v>76.202891959402834</v>
      </c>
      <c r="AF11">
        <v>80.30198131052552</v>
      </c>
      <c r="AG11">
        <v>84.839646794335664</v>
      </c>
      <c r="AH11">
        <v>89.708302566510568</v>
      </c>
      <c r="AI11">
        <v>94.798595640746925</v>
      </c>
      <c r="AJ11">
        <f>C12</f>
        <v>100</v>
      </c>
    </row>
    <row r="12" spans="2:36" x14ac:dyDescent="0.25">
      <c r="B12" s="1" t="s">
        <v>8</v>
      </c>
      <c r="C12" s="1">
        <v>100</v>
      </c>
    </row>
    <row r="13" spans="2:36" x14ac:dyDescent="0.25">
      <c r="E13" t="s">
        <v>10</v>
      </c>
      <c r="G13">
        <f t="shared" ref="G13:AH13" si="1">G17*H13+G19</f>
        <v>280.28058441744241</v>
      </c>
      <c r="H13">
        <f t="shared" si="1"/>
        <v>260.72899474814812</v>
      </c>
      <c r="I13">
        <f t="shared" si="1"/>
        <v>241.50995019658686</v>
      </c>
      <c r="J13">
        <f t="shared" si="1"/>
        <v>222.78206427196028</v>
      </c>
      <c r="K13">
        <f t="shared" si="1"/>
        <v>204.69505500025815</v>
      </c>
      <c r="L13">
        <f t="shared" si="1"/>
        <v>187.38725379969665</v>
      </c>
      <c r="M13">
        <f t="shared" si="1"/>
        <v>170.98348562558894</v>
      </c>
      <c r="N13">
        <f t="shared" si="1"/>
        <v>155.59337255593965</v>
      </c>
      <c r="O13">
        <f t="shared" si="1"/>
        <v>141.31009048946964</v>
      </c>
      <c r="P13">
        <f t="shared" si="1"/>
        <v>128.20958568088923</v>
      </c>
      <c r="Q13">
        <f t="shared" si="1"/>
        <v>116.35023602885518</v>
      </c>
      <c r="R13">
        <f t="shared" si="1"/>
        <v>105.77292278075768</v>
      </c>
      <c r="S13">
        <f t="shared" si="1"/>
        <v>96.501462770092388</v>
      </c>
      <c r="T13">
        <f t="shared" si="1"/>
        <v>88.543340243829945</v>
      </c>
      <c r="U13">
        <f t="shared" si="1"/>
        <v>81.890671152693045</v>
      </c>
      <c r="V13">
        <f t="shared" si="1"/>
        <v>76.521331439960363</v>
      </c>
      <c r="W13">
        <f t="shared" si="1"/>
        <v>72.400183967551357</v>
      </c>
      <c r="X13">
        <f t="shared" si="1"/>
        <v>69.480345537364187</v>
      </c>
      <c r="Y13">
        <f t="shared" si="1"/>
        <v>67.704445046490861</v>
      </c>
      <c r="Z13">
        <f t="shared" si="1"/>
        <v>67.005835074281933</v>
      </c>
      <c r="AA13">
        <f t="shared" si="1"/>
        <v>67.309731033211335</v>
      </c>
      <c r="AB13">
        <f t="shared" si="1"/>
        <v>68.534263399749605</v>
      </c>
      <c r="AC13">
        <f t="shared" si="1"/>
        <v>70.591438617613093</v>
      </c>
      <c r="AD13">
        <f t="shared" si="1"/>
        <v>73.388012405728603</v>
      </c>
      <c r="AE13">
        <f t="shared" si="1"/>
        <v>76.826285046889922</v>
      </c>
      <c r="AF13">
        <f t="shared" si="1"/>
        <v>80.804831697206723</v>
      </c>
      <c r="AG13">
        <f t="shared" si="1"/>
        <v>85.219182015980607</v>
      </c>
      <c r="AH13">
        <f t="shared" si="1"/>
        <v>89.962462860180125</v>
      </c>
      <c r="AI13">
        <f>AI17*AJ13+AI19</f>
        <v>94.926015958893288</v>
      </c>
      <c r="AJ13">
        <f>AJ11</f>
        <v>100</v>
      </c>
    </row>
    <row r="15" spans="2:36" x14ac:dyDescent="0.25">
      <c r="E15" t="s">
        <v>18</v>
      </c>
      <c r="G15">
        <f>-$C$8*$C$7/$C$4*G11</f>
        <v>-1004951937.6088731</v>
      </c>
      <c r="H15">
        <f t="shared" ref="H15:AH15" si="2">-$C$8*$C$7/$C$4*H11</f>
        <v>-934118896.36894071</v>
      </c>
      <c r="I15">
        <f t="shared" si="2"/>
        <v>-864504304.58984387</v>
      </c>
      <c r="J15">
        <f t="shared" si="2"/>
        <v>-796688817.26468647</v>
      </c>
      <c r="K15">
        <f t="shared" si="2"/>
        <v>-731219935.92640412</v>
      </c>
      <c r="L15">
        <f t="shared" si="2"/>
        <v>-668602769.90379286</v>
      </c>
      <c r="M15">
        <f t="shared" si="2"/>
        <v>-609292214.29215503</v>
      </c>
      <c r="N15">
        <f t="shared" si="2"/>
        <v>-553686740.37754929</v>
      </c>
      <c r="O15">
        <f t="shared" si="2"/>
        <v>-502123906.82855427</v>
      </c>
      <c r="P15">
        <f t="shared" si="2"/>
        <v>-454877611.07492876</v>
      </c>
      <c r="Q15">
        <f t="shared" si="2"/>
        <v>-412157016.159235</v>
      </c>
      <c r="R15">
        <f t="shared" si="2"/>
        <v>-374107014.53438944</v>
      </c>
      <c r="S15">
        <f t="shared" si="2"/>
        <v>-340810031.23366368</v>
      </c>
      <c r="T15">
        <f t="shared" si="2"/>
        <v>-312288927.5734421</v>
      </c>
      <c r="U15">
        <f t="shared" si="2"/>
        <v>-288510744.46926916</v>
      </c>
      <c r="V15">
        <f t="shared" si="2"/>
        <v>-269391021.3316378</v>
      </c>
      <c r="W15">
        <f t="shared" si="2"/>
        <v>-254798440.64077592</v>
      </c>
      <c r="X15">
        <f t="shared" si="2"/>
        <v>-244559576.71930343</v>
      </c>
      <c r="Y15">
        <f t="shared" si="2"/>
        <v>-238463566.07953861</v>
      </c>
      <c r="Z15">
        <f t="shared" si="2"/>
        <v>-236266561.69161081</v>
      </c>
      <c r="AA15">
        <f t="shared" si="2"/>
        <v>-237695880.21966168</v>
      </c>
      <c r="AB15">
        <f t="shared" si="2"/>
        <v>-242453795.67381528</v>
      </c>
      <c r="AC15">
        <f t="shared" si="2"/>
        <v>-250220971.67915252</v>
      </c>
      <c r="AD15">
        <f t="shared" si="2"/>
        <v>-260659555.26014462</v>
      </c>
      <c r="AE15">
        <f t="shared" si="2"/>
        <v>-273415976.35033739</v>
      </c>
      <c r="AF15">
        <f t="shared" si="2"/>
        <v>-288123508.94216555</v>
      </c>
      <c r="AG15">
        <f t="shared" si="2"/>
        <v>-304404652.69807637</v>
      </c>
      <c r="AH15">
        <f t="shared" si="2"/>
        <v>-321873389.6086399</v>
      </c>
      <c r="AI15">
        <f>-$C$8*$C$7/$C$4*AI11</f>
        <v>-340137361.15899998</v>
      </c>
    </row>
    <row r="17" spans="2:35" x14ac:dyDescent="0.25">
      <c r="B17" s="1" t="s">
        <v>15</v>
      </c>
      <c r="C17" s="1">
        <f>C9/(C3^2)</f>
        <v>4139999.9999999991</v>
      </c>
      <c r="E17" t="s">
        <v>19</v>
      </c>
      <c r="F17">
        <v>0</v>
      </c>
      <c r="G17">
        <f>$C$17/($C$18-$C$19*F17)</f>
        <v>0.34883720930232553</v>
      </c>
      <c r="H17">
        <f t="shared" ref="H17:AH17" si="3">$C$17/($C$18-$C$19*G17)</f>
        <v>0.39716748768472904</v>
      </c>
      <c r="I17">
        <f t="shared" si="3"/>
        <v>0.40494040593779607</v>
      </c>
      <c r="J17">
        <f t="shared" si="3"/>
        <v>0.4062190081621499</v>
      </c>
      <c r="K17">
        <f t="shared" si="3"/>
        <v>0.40643010492156101</v>
      </c>
      <c r="L17">
        <f t="shared" si="3"/>
        <v>0.40646497802255066</v>
      </c>
      <c r="M17">
        <f t="shared" si="3"/>
        <v>0.40647073962099717</v>
      </c>
      <c r="N17">
        <f t="shared" si="3"/>
        <v>0.40647169154566137</v>
      </c>
      <c r="O17">
        <f t="shared" si="3"/>
        <v>0.40647184882198806</v>
      </c>
      <c r="P17">
        <f t="shared" si="3"/>
        <v>0.40647187480708435</v>
      </c>
      <c r="Q17">
        <f t="shared" si="3"/>
        <v>0.40647187910032606</v>
      </c>
      <c r="R17">
        <f t="shared" si="3"/>
        <v>0.40647187980965277</v>
      </c>
      <c r="S17">
        <f t="shared" si="3"/>
        <v>0.4064718799268473</v>
      </c>
      <c r="T17">
        <f t="shared" si="3"/>
        <v>0.40647187994621015</v>
      </c>
      <c r="U17">
        <f t="shared" si="3"/>
        <v>0.40647187994940925</v>
      </c>
      <c r="V17">
        <f t="shared" si="3"/>
        <v>0.40647187994993778</v>
      </c>
      <c r="W17">
        <f t="shared" si="3"/>
        <v>0.40647187995002515</v>
      </c>
      <c r="X17">
        <f t="shared" si="3"/>
        <v>0.40647187995003953</v>
      </c>
      <c r="Y17">
        <f t="shared" si="3"/>
        <v>0.40647187995004191</v>
      </c>
      <c r="Z17">
        <f t="shared" si="3"/>
        <v>0.40647187995004236</v>
      </c>
      <c r="AA17">
        <f t="shared" si="3"/>
        <v>0.40647187995004236</v>
      </c>
      <c r="AB17">
        <f t="shared" si="3"/>
        <v>0.40647187995004236</v>
      </c>
      <c r="AC17">
        <f t="shared" si="3"/>
        <v>0.40647187995004236</v>
      </c>
      <c r="AD17">
        <f t="shared" si="3"/>
        <v>0.40647187995004236</v>
      </c>
      <c r="AE17">
        <f t="shared" si="3"/>
        <v>0.40647187995004236</v>
      </c>
      <c r="AF17">
        <f t="shared" si="3"/>
        <v>0.40647187995004236</v>
      </c>
      <c r="AG17">
        <f t="shared" si="3"/>
        <v>0.40647187995004236</v>
      </c>
      <c r="AH17">
        <f t="shared" si="3"/>
        <v>0.40647187995004236</v>
      </c>
      <c r="AI17">
        <f>$C$17/($C$18-$C$19*AH17)</f>
        <v>0.40647187995004236</v>
      </c>
    </row>
    <row r="18" spans="2:35" x14ac:dyDescent="0.25">
      <c r="B18" s="1" t="s">
        <v>16</v>
      </c>
      <c r="C18" s="1">
        <f>2*C9/(C3^2)+C8*C7/C4</f>
        <v>11867999.999999998</v>
      </c>
    </row>
    <row r="19" spans="2:35" x14ac:dyDescent="0.25">
      <c r="B19" s="1" t="s">
        <v>17</v>
      </c>
      <c r="C19" s="1">
        <f>C17</f>
        <v>4139999.9999999991</v>
      </c>
      <c r="E19" t="s">
        <v>20</v>
      </c>
      <c r="F19">
        <f>F11</f>
        <v>300</v>
      </c>
      <c r="G19">
        <f>(F19*$C$19-G15)/($C$18-$C$19*F17)</f>
        <v>189.32860950529772</v>
      </c>
      <c r="H19">
        <f t="shared" ref="H19:AH19" si="4">(G19*$C$19-H15)/($C$18-$C$19*G17)</f>
        <v>164.80909457770568</v>
      </c>
      <c r="I19">
        <f t="shared" si="4"/>
        <v>151.29649065463909</v>
      </c>
      <c r="J19">
        <f t="shared" si="4"/>
        <v>139.6310420540587</v>
      </c>
      <c r="K19">
        <f t="shared" si="4"/>
        <v>128.53523377748428</v>
      </c>
      <c r="L19">
        <f t="shared" si="4"/>
        <v>117.88845507267254</v>
      </c>
      <c r="M19">
        <f t="shared" si="4"/>
        <v>107.73933240265079</v>
      </c>
      <c r="N19">
        <f t="shared" si="4"/>
        <v>98.154821042214451</v>
      </c>
      <c r="O19">
        <f t="shared" si="4"/>
        <v>89.196503161057521</v>
      </c>
      <c r="P19">
        <f t="shared" si="4"/>
        <v>80.916487107993703</v>
      </c>
      <c r="Q19">
        <f t="shared" si="4"/>
        <v>73.356517348226916</v>
      </c>
      <c r="R19">
        <f t="shared" si="4"/>
        <v>66.547791804217013</v>
      </c>
      <c r="S19">
        <f t="shared" si="4"/>
        <v>60.511084806180349</v>
      </c>
      <c r="T19">
        <f t="shared" si="4"/>
        <v>55.257085190337925</v>
      </c>
      <c r="U19">
        <f t="shared" si="4"/>
        <v>50.786901706060519</v>
      </c>
      <c r="V19">
        <f t="shared" si="4"/>
        <v>47.092692553948417</v>
      </c>
      <c r="W19">
        <f t="shared" si="4"/>
        <v>44.1583772974016</v>
      </c>
      <c r="X19">
        <f t="shared" si="4"/>
        <v>41.960392478342904</v>
      </c>
      <c r="Y19">
        <f t="shared" si="4"/>
        <v>40.468457296225026</v>
      </c>
      <c r="Z19">
        <f t="shared" si="4"/>
        <v>39.646322162280811</v>
      </c>
      <c r="AA19">
        <f t="shared" si="4"/>
        <v>39.452480148123733</v>
      </c>
      <c r="AB19">
        <f t="shared" si="4"/>
        <v>39.840828636470391</v>
      </c>
      <c r="AC19">
        <f t="shared" si="4"/>
        <v>40.761275249259562</v>
      </c>
      <c r="AD19">
        <f t="shared" si="4"/>
        <v>42.16028789314143</v>
      </c>
      <c r="AE19">
        <f t="shared" si="4"/>
        <v>43.981393197879527</v>
      </c>
      <c r="AF19">
        <f t="shared" si="4"/>
        <v>46.165630575366244</v>
      </c>
      <c r="AG19">
        <f t="shared" si="4"/>
        <v>48.651970612267327</v>
      </c>
      <c r="AH19">
        <f t="shared" si="4"/>
        <v>51.377706697201049</v>
      </c>
      <c r="AI19">
        <f>(AH19*$C$19-AI15)/($C$18-$C$19*AH17)</f>
        <v>54.27882796388905</v>
      </c>
    </row>
    <row r="21" spans="2:35" x14ac:dyDescent="0.25">
      <c r="E21" t="s">
        <v>21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pageSetup paperSize="270" orientation="landscape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Button 10">
              <controlPr defaultSize="0" print="0" autoFill="0" autoPict="0" macro="[0]!iterat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AJ19"/>
  <sheetViews>
    <sheetView zoomScale="85" zoomScaleNormal="85" workbookViewId="0">
      <selection activeCell="O23" sqref="O23"/>
    </sheetView>
  </sheetViews>
  <sheetFormatPr defaultRowHeight="15" x14ac:dyDescent="0.25"/>
  <cols>
    <col min="7" max="7" width="12.140625" bestFit="1" customWidth="1"/>
    <col min="8" max="8" width="11.28515625" bestFit="1" customWidth="1"/>
  </cols>
  <sheetData>
    <row r="2" spans="2:36" x14ac:dyDescent="0.25">
      <c r="B2" s="1" t="s">
        <v>0</v>
      </c>
      <c r="C2" s="1">
        <v>0.1</v>
      </c>
    </row>
    <row r="3" spans="2:36" x14ac:dyDescent="0.25">
      <c r="B3" s="1" t="s">
        <v>1</v>
      </c>
      <c r="C3" s="1">
        <f>C2/30</f>
        <v>3.3333333333333335E-3</v>
      </c>
    </row>
    <row r="4" spans="2:36" x14ac:dyDescent="0.25">
      <c r="B4" s="1" t="s">
        <v>2</v>
      </c>
      <c r="C4" s="1">
        <v>1</v>
      </c>
    </row>
    <row r="5" spans="2:36" x14ac:dyDescent="0.25">
      <c r="B5" s="1" t="s">
        <v>3</v>
      </c>
      <c r="C5" s="1">
        <v>60</v>
      </c>
      <c r="D5">
        <v>60</v>
      </c>
    </row>
    <row r="7" spans="2:36" x14ac:dyDescent="0.25">
      <c r="B7" s="1" t="s">
        <v>4</v>
      </c>
      <c r="C7" s="1">
        <v>460</v>
      </c>
    </row>
    <row r="8" spans="2:36" x14ac:dyDescent="0.25">
      <c r="B8" s="1" t="s">
        <v>5</v>
      </c>
      <c r="C8" s="1">
        <v>7800</v>
      </c>
    </row>
    <row r="9" spans="2:36" x14ac:dyDescent="0.25">
      <c r="B9" s="1" t="s">
        <v>6</v>
      </c>
      <c r="C9" s="1">
        <v>46</v>
      </c>
      <c r="F9" s="1">
        <v>1</v>
      </c>
      <c r="G9" s="1">
        <v>2</v>
      </c>
      <c r="H9" s="1">
        <v>3</v>
      </c>
      <c r="I9" s="1">
        <v>4</v>
      </c>
      <c r="J9" s="1">
        <v>5</v>
      </c>
      <c r="K9" s="1">
        <v>6</v>
      </c>
      <c r="L9" s="1">
        <v>7</v>
      </c>
      <c r="M9" s="1">
        <v>8</v>
      </c>
      <c r="N9" s="1">
        <v>9</v>
      </c>
      <c r="O9" s="1">
        <v>10</v>
      </c>
      <c r="P9" s="1">
        <v>11</v>
      </c>
      <c r="Q9" s="1">
        <v>12</v>
      </c>
      <c r="R9" s="1">
        <v>13</v>
      </c>
      <c r="S9" s="1">
        <v>14</v>
      </c>
      <c r="T9" s="1">
        <v>15</v>
      </c>
      <c r="U9" s="1">
        <v>16</v>
      </c>
      <c r="V9" s="1">
        <v>17</v>
      </c>
      <c r="W9" s="1">
        <v>18</v>
      </c>
      <c r="X9" s="1">
        <v>19</v>
      </c>
      <c r="Y9" s="1">
        <v>20</v>
      </c>
      <c r="Z9" s="1">
        <v>21</v>
      </c>
      <c r="AA9" s="1">
        <v>22</v>
      </c>
      <c r="AB9" s="1">
        <v>23</v>
      </c>
      <c r="AC9" s="1">
        <v>24</v>
      </c>
      <c r="AD9" s="1">
        <v>25</v>
      </c>
      <c r="AE9" s="1">
        <v>26</v>
      </c>
      <c r="AF9" s="1">
        <v>27</v>
      </c>
      <c r="AG9" s="1">
        <v>28</v>
      </c>
      <c r="AH9" s="1">
        <v>29</v>
      </c>
      <c r="AI9" s="1">
        <v>30</v>
      </c>
      <c r="AJ9" s="1">
        <v>31</v>
      </c>
    </row>
    <row r="10" spans="2:36" x14ac:dyDescent="0.25">
      <c r="E10" t="s">
        <v>0</v>
      </c>
      <c r="F10" s="1">
        <v>0</v>
      </c>
      <c r="G10" s="1">
        <f>F10+$C$3</f>
        <v>3.3333333333333335E-3</v>
      </c>
      <c r="H10" s="1">
        <f t="shared" ref="H10:AJ10" si="0">G10+$C$3</f>
        <v>6.6666666666666671E-3</v>
      </c>
      <c r="I10" s="1">
        <f t="shared" si="0"/>
        <v>0.01</v>
      </c>
      <c r="J10" s="1">
        <f t="shared" si="0"/>
        <v>1.3333333333333334E-2</v>
      </c>
      <c r="K10" s="1">
        <f t="shared" si="0"/>
        <v>1.6666666666666666E-2</v>
      </c>
      <c r="L10" s="1">
        <f t="shared" si="0"/>
        <v>0.02</v>
      </c>
      <c r="M10" s="1">
        <f t="shared" si="0"/>
        <v>2.3333333333333334E-2</v>
      </c>
      <c r="N10" s="1">
        <f t="shared" si="0"/>
        <v>2.6666666666666668E-2</v>
      </c>
      <c r="O10" s="1">
        <f t="shared" si="0"/>
        <v>3.0000000000000002E-2</v>
      </c>
      <c r="P10" s="1">
        <f t="shared" si="0"/>
        <v>3.3333333333333333E-2</v>
      </c>
      <c r="Q10" s="1">
        <f t="shared" si="0"/>
        <v>3.6666666666666667E-2</v>
      </c>
      <c r="R10" s="1">
        <f t="shared" si="0"/>
        <v>0.04</v>
      </c>
      <c r="S10" s="1">
        <f t="shared" si="0"/>
        <v>4.3333333333333335E-2</v>
      </c>
      <c r="T10" s="1">
        <f t="shared" si="0"/>
        <v>4.6666666666666669E-2</v>
      </c>
      <c r="U10" s="1">
        <f t="shared" si="0"/>
        <v>0.05</v>
      </c>
      <c r="V10" s="1">
        <f t="shared" si="0"/>
        <v>5.3333333333333337E-2</v>
      </c>
      <c r="W10" s="1">
        <f t="shared" si="0"/>
        <v>5.6666666666666671E-2</v>
      </c>
      <c r="X10" s="1">
        <f t="shared" si="0"/>
        <v>6.0000000000000005E-2</v>
      </c>
      <c r="Y10" s="1">
        <f t="shared" si="0"/>
        <v>6.3333333333333339E-2</v>
      </c>
      <c r="Z10" s="1">
        <f t="shared" si="0"/>
        <v>6.6666666666666666E-2</v>
      </c>
      <c r="AA10" s="1">
        <f>Z10+$C$3</f>
        <v>6.9999999999999993E-2</v>
      </c>
      <c r="AB10" s="1">
        <f t="shared" si="0"/>
        <v>7.333333333333332E-2</v>
      </c>
      <c r="AC10" s="1">
        <f t="shared" si="0"/>
        <v>7.6666666666666647E-2</v>
      </c>
      <c r="AD10" s="1">
        <f t="shared" si="0"/>
        <v>7.9999999999999974E-2</v>
      </c>
      <c r="AE10" s="1">
        <f t="shared" si="0"/>
        <v>8.3333333333333301E-2</v>
      </c>
      <c r="AF10" s="1">
        <f t="shared" si="0"/>
        <v>8.6666666666666628E-2</v>
      </c>
      <c r="AG10" s="1">
        <f t="shared" si="0"/>
        <v>8.9999999999999955E-2</v>
      </c>
      <c r="AH10" s="1">
        <f t="shared" si="0"/>
        <v>9.3333333333333282E-2</v>
      </c>
      <c r="AI10" s="1">
        <f t="shared" si="0"/>
        <v>9.6666666666666609E-2</v>
      </c>
      <c r="AJ10" s="1">
        <f t="shared" si="0"/>
        <v>9.9999999999999936E-2</v>
      </c>
    </row>
    <row r="11" spans="2:36" x14ac:dyDescent="0.25">
      <c r="B11" s="1" t="s">
        <v>12</v>
      </c>
      <c r="C11" s="1">
        <v>92000</v>
      </c>
      <c r="E11" t="s">
        <v>9</v>
      </c>
      <c r="F11">
        <f>(F14/C9)*C3+G11</f>
        <v>61.353917184922523</v>
      </c>
      <c r="G11">
        <v>54.687250518255858</v>
      </c>
      <c r="H11">
        <v>49.204531075857794</v>
      </c>
      <c r="I11">
        <v>44.27032720767906</v>
      </c>
      <c r="J11">
        <v>39.883001572086926</v>
      </c>
      <c r="K11">
        <v>36.040564234699588</v>
      </c>
      <c r="L11">
        <v>32.740798339206165</v>
      </c>
      <c r="M11">
        <v>29.981384668230437</v>
      </c>
      <c r="N11">
        <v>27.760007137434187</v>
      </c>
      <c r="O11">
        <v>26.074420858388201</v>
      </c>
      <c r="P11">
        <v>24.922465393256438</v>
      </c>
      <c r="Q11">
        <v>24.302008211640356</v>
      </c>
      <c r="R11">
        <v>24.210807064725024</v>
      </c>
      <c r="S11">
        <v>24.64628484405009</v>
      </c>
      <c r="T11">
        <v>25.60521623773473</v>
      </c>
      <c r="U11">
        <v>27.08333180699308</v>
      </c>
      <c r="V11">
        <v>29.074851591499261</v>
      </c>
      <c r="W11">
        <v>31.571966585187671</v>
      </c>
      <c r="X11">
        <v>34.564291961676929</v>
      </c>
      <c r="Y11">
        <v>38.038320342823056</v>
      </c>
      <c r="Z11">
        <v>41.976906313299011</v>
      </c>
      <c r="AA11">
        <v>46.358814484455024</v>
      </c>
      <c r="AB11">
        <v>51.158362504085346</v>
      </c>
      <c r="AC11">
        <v>56.345187426458871</v>
      </c>
      <c r="AD11">
        <v>61.884158874645834</v>
      </c>
      <c r="AE11">
        <v>67.735455669085397</v>
      </c>
      <c r="AF11">
        <v>73.854814428008083</v>
      </c>
      <c r="AG11">
        <v>80.193949553591779</v>
      </c>
      <c r="AH11">
        <v>86.70113457922173</v>
      </c>
      <c r="AI11">
        <v>93.321925693270089</v>
      </c>
      <c r="AJ11">
        <f>C12</f>
        <v>100</v>
      </c>
    </row>
    <row r="12" spans="2:36" x14ac:dyDescent="0.25">
      <c r="B12" s="1" t="s">
        <v>8</v>
      </c>
      <c r="C12" s="1">
        <v>100</v>
      </c>
    </row>
    <row r="13" spans="2:36" x14ac:dyDescent="0.25">
      <c r="E13" t="s">
        <v>10</v>
      </c>
      <c r="G13">
        <f t="shared" ref="G13:AH13" si="1">G17*H13+G19</f>
        <v>55.320833355391997</v>
      </c>
      <c r="H13">
        <f t="shared" si="1"/>
        <v>49.836854651379468</v>
      </c>
      <c r="I13">
        <f t="shared" si="1"/>
        <v>44.900889712819058</v>
      </c>
      <c r="J13">
        <f t="shared" si="1"/>
        <v>40.511412278713316</v>
      </c>
      <c r="K13">
        <f t="shared" si="1"/>
        <v>36.666557457017106</v>
      </c>
      <c r="L13">
        <f t="shared" si="1"/>
        <v>33.364230094662744</v>
      </c>
      <c r="M13">
        <f t="shared" si="1"/>
        <v>30.602210253704079</v>
      </c>
      <c r="N13">
        <f t="shared" si="1"/>
        <v>28.378239253489237</v>
      </c>
      <c r="O13">
        <f t="shared" si="1"/>
        <v>26.690069420522114</v>
      </c>
      <c r="P13">
        <f t="shared" si="1"/>
        <v>25.535461674737704</v>
      </c>
      <c r="Q13">
        <f t="shared" si="1"/>
        <v>24.91211737290373</v>
      </c>
      <c r="R13">
        <f t="shared" si="1"/>
        <v>24.817534344164677</v>
      </c>
      <c r="S13">
        <f t="shared" si="1"/>
        <v>25.248781624273327</v>
      </c>
      <c r="T13">
        <f t="shared" si="1"/>
        <v>26.202192780575459</v>
      </c>
      <c r="U13">
        <f t="shared" si="1"/>
        <v>27.672983607339553</v>
      </c>
      <c r="V13">
        <f t="shared" si="1"/>
        <v>29.654805994403926</v>
      </c>
      <c r="W13">
        <f t="shared" si="1"/>
        <v>32.139255530652335</v>
      </c>
      <c r="X13">
        <f t="shared" si="1"/>
        <v>35.11535548630345</v>
      </c>
      <c r="Y13">
        <f t="shared" si="1"/>
        <v>38.569043829964215</v>
      </c>
      <c r="Z13">
        <f t="shared" si="1"/>
        <v>42.482692529147336</v>
      </c>
      <c r="AA13">
        <f t="shared" si="1"/>
        <v>46.834689282065668</v>
      </c>
      <c r="AB13">
        <f t="shared" si="1"/>
        <v>51.599110859579909</v>
      </c>
      <c r="AC13">
        <f t="shared" si="1"/>
        <v>56.745514345189449</v>
      </c>
      <c r="AD13">
        <f t="shared" si="1"/>
        <v>62.23886782703218</v>
      </c>
      <c r="AE13">
        <f t="shared" si="1"/>
        <v>68.03963573427643</v>
      </c>
      <c r="AF13">
        <f t="shared" si="1"/>
        <v>74.104026364686234</v>
      </c>
      <c r="AG13">
        <f t="shared" si="1"/>
        <v>80.384400673550445</v>
      </c>
      <c r="AH13">
        <f t="shared" si="1"/>
        <v>86.829832619712207</v>
      </c>
      <c r="AI13">
        <f>AI17*AJ13+AI19</f>
        <v>93.386802867632412</v>
      </c>
      <c r="AJ13">
        <f>AJ11</f>
        <v>100</v>
      </c>
    </row>
    <row r="14" spans="2:36" x14ac:dyDescent="0.25">
      <c r="E14" t="s">
        <v>11</v>
      </c>
      <c r="F14">
        <f>C11</f>
        <v>92000</v>
      </c>
      <c r="G14">
        <f>-$C$9*((G11-F11)/$C$3)</f>
        <v>91999.999999999956</v>
      </c>
      <c r="H14">
        <f t="shared" ref="H14:AI14" si="2">-$C$9*((H11-G11)/$C$3)</f>
        <v>75661.528305093278</v>
      </c>
      <c r="I14">
        <f t="shared" si="2"/>
        <v>68092.013380866527</v>
      </c>
      <c r="J14">
        <f t="shared" si="2"/>
        <v>60545.093771171443</v>
      </c>
      <c r="K14">
        <f t="shared" si="2"/>
        <v>53025.635255945257</v>
      </c>
      <c r="L14">
        <f t="shared" si="2"/>
        <v>45536.769357809229</v>
      </c>
      <c r="M14">
        <f t="shared" si="2"/>
        <v>38079.908659465051</v>
      </c>
      <c r="N14">
        <f t="shared" si="2"/>
        <v>30655.009924988248</v>
      </c>
      <c r="O14">
        <f t="shared" si="2"/>
        <v>23261.090650834594</v>
      </c>
      <c r="P14">
        <f t="shared" si="2"/>
        <v>15896.985418818334</v>
      </c>
      <c r="Q14">
        <f t="shared" si="2"/>
        <v>8562.3091063019347</v>
      </c>
      <c r="R14">
        <f t="shared" si="2"/>
        <v>1258.5758274315722</v>
      </c>
      <c r="S14">
        <f t="shared" si="2"/>
        <v>-6009.5933546859033</v>
      </c>
      <c r="T14">
        <f t="shared" si="2"/>
        <v>-13233.253232848032</v>
      </c>
      <c r="U14">
        <f t="shared" si="2"/>
        <v>-20397.994855765224</v>
      </c>
      <c r="V14">
        <f t="shared" si="2"/>
        <v>-27482.9730261853</v>
      </c>
      <c r="W14">
        <f t="shared" si="2"/>
        <v>-34460.186912900055</v>
      </c>
      <c r="X14">
        <f t="shared" si="2"/>
        <v>-41294.090195551769</v>
      </c>
      <c r="Y14">
        <f t="shared" si="2"/>
        <v>-47941.59165981655</v>
      </c>
      <c r="Z14">
        <f t="shared" si="2"/>
        <v>-54352.486392568178</v>
      </c>
      <c r="AA14">
        <f t="shared" si="2"/>
        <v>-60470.332761952974</v>
      </c>
      <c r="AB14">
        <f t="shared" si="2"/>
        <v>-66233.762670898446</v>
      </c>
      <c r="AC14">
        <f t="shared" si="2"/>
        <v>-71578.183928754632</v>
      </c>
      <c r="AD14">
        <f t="shared" si="2"/>
        <v>-76437.805984980092</v>
      </c>
      <c r="AE14">
        <f t="shared" si="2"/>
        <v>-80747.895763265959</v>
      </c>
      <c r="AF14">
        <f t="shared" si="2"/>
        <v>-84447.150873133069</v>
      </c>
      <c r="AG14">
        <f t="shared" si="2"/>
        <v>-87480.064733054984</v>
      </c>
      <c r="AH14">
        <f t="shared" si="2"/>
        <v>-89799.153353693313</v>
      </c>
      <c r="AI14">
        <f t="shared" si="2"/>
        <v>-91366.917373867342</v>
      </c>
    </row>
    <row r="15" spans="2:36" x14ac:dyDescent="0.25">
      <c r="E15" t="s">
        <v>18</v>
      </c>
      <c r="G15">
        <f>-$C$8*$C$7/$C$4*G11</f>
        <v>-196217854.85950202</v>
      </c>
      <c r="H15">
        <f t="shared" ref="H15:AH15" si="3">-$C$8*$C$7/$C$4*H11</f>
        <v>-176545857.50017777</v>
      </c>
      <c r="I15">
        <f t="shared" si="3"/>
        <v>-158841934.02115247</v>
      </c>
      <c r="J15">
        <f t="shared" si="3"/>
        <v>-143100209.64064789</v>
      </c>
      <c r="K15">
        <f t="shared" si="3"/>
        <v>-129313544.47410212</v>
      </c>
      <c r="L15">
        <f t="shared" si="3"/>
        <v>-117473984.44107172</v>
      </c>
      <c r="M15">
        <f t="shared" si="3"/>
        <v>-107573208.18961081</v>
      </c>
      <c r="N15">
        <f t="shared" si="3"/>
        <v>-99602905.609113857</v>
      </c>
      <c r="O15">
        <f t="shared" si="3"/>
        <v>-93555022.039896861</v>
      </c>
      <c r="P15">
        <f t="shared" si="3"/>
        <v>-89421805.831004098</v>
      </c>
      <c r="Q15">
        <f t="shared" si="3"/>
        <v>-87195605.4633656</v>
      </c>
      <c r="R15">
        <f t="shared" si="3"/>
        <v>-86868375.748233393</v>
      </c>
      <c r="S15">
        <f t="shared" si="3"/>
        <v>-88430870.020451725</v>
      </c>
      <c r="T15">
        <f t="shared" si="3"/>
        <v>-91871515.860992208</v>
      </c>
      <c r="U15">
        <f t="shared" si="3"/>
        <v>-97174994.523491174</v>
      </c>
      <c r="V15">
        <f t="shared" si="3"/>
        <v>-104320567.51029935</v>
      </c>
      <c r="W15">
        <f t="shared" si="3"/>
        <v>-113280216.10765336</v>
      </c>
      <c r="X15">
        <f t="shared" si="3"/>
        <v>-124016679.55849682</v>
      </c>
      <c r="Y15">
        <f t="shared" si="3"/>
        <v>-136481493.39004913</v>
      </c>
      <c r="Z15">
        <f t="shared" si="3"/>
        <v>-150613139.85211685</v>
      </c>
      <c r="AA15">
        <f t="shared" si="3"/>
        <v>-166335426.37022462</v>
      </c>
      <c r="AB15">
        <f t="shared" si="3"/>
        <v>-183556204.66465822</v>
      </c>
      <c r="AC15">
        <f t="shared" si="3"/>
        <v>-202166532.48613444</v>
      </c>
      <c r="AD15">
        <f t="shared" si="3"/>
        <v>-222040362.04222926</v>
      </c>
      <c r="AE15">
        <f t="shared" si="3"/>
        <v>-243034814.94067842</v>
      </c>
      <c r="AF15">
        <f t="shared" si="3"/>
        <v>-264991074.16769299</v>
      </c>
      <c r="AG15">
        <f t="shared" si="3"/>
        <v>-287735890.99828732</v>
      </c>
      <c r="AH15">
        <f t="shared" si="3"/>
        <v>-311083670.87024754</v>
      </c>
      <c r="AI15">
        <f>-$C$8*$C$7/$C$4*AI11</f>
        <v>-334839069.38745308</v>
      </c>
    </row>
    <row r="17" spans="2:35" x14ac:dyDescent="0.25">
      <c r="B17" s="1" t="s">
        <v>15</v>
      </c>
      <c r="C17" s="1">
        <f>C9/(C3^2)</f>
        <v>4139999.9999999991</v>
      </c>
      <c r="E17" t="s">
        <v>19</v>
      </c>
      <c r="F17">
        <v>0</v>
      </c>
      <c r="G17">
        <f>$C$17/($C$18-$C$19*F17)</f>
        <v>0.34883720930232553</v>
      </c>
      <c r="H17">
        <f t="shared" ref="H17:AH17" si="4">$C$17/($C$18-$C$19*G17)</f>
        <v>0.39716748768472904</v>
      </c>
      <c r="I17">
        <f t="shared" si="4"/>
        <v>0.40494040593779607</v>
      </c>
      <c r="J17">
        <f t="shared" si="4"/>
        <v>0.4062190081621499</v>
      </c>
      <c r="K17">
        <f t="shared" si="4"/>
        <v>0.40643010492156101</v>
      </c>
      <c r="L17">
        <f t="shared" si="4"/>
        <v>0.40646497802255066</v>
      </c>
      <c r="M17">
        <f t="shared" si="4"/>
        <v>0.40647073962099717</v>
      </c>
      <c r="N17">
        <f t="shared" si="4"/>
        <v>0.40647169154566137</v>
      </c>
      <c r="O17">
        <f t="shared" si="4"/>
        <v>0.40647184882198806</v>
      </c>
      <c r="P17">
        <f t="shared" si="4"/>
        <v>0.40647187480708435</v>
      </c>
      <c r="Q17">
        <f t="shared" si="4"/>
        <v>0.40647187910032606</v>
      </c>
      <c r="R17">
        <f t="shared" si="4"/>
        <v>0.40647187980965277</v>
      </c>
      <c r="S17">
        <f t="shared" si="4"/>
        <v>0.4064718799268473</v>
      </c>
      <c r="T17">
        <f t="shared" si="4"/>
        <v>0.40647187994621015</v>
      </c>
      <c r="U17">
        <f t="shared" si="4"/>
        <v>0.40647187994940925</v>
      </c>
      <c r="V17">
        <f t="shared" si="4"/>
        <v>0.40647187994993778</v>
      </c>
      <c r="W17">
        <f t="shared" si="4"/>
        <v>0.40647187995002515</v>
      </c>
      <c r="X17">
        <f t="shared" si="4"/>
        <v>0.40647187995003953</v>
      </c>
      <c r="Y17">
        <f t="shared" si="4"/>
        <v>0.40647187995004191</v>
      </c>
      <c r="Z17">
        <f t="shared" si="4"/>
        <v>0.40647187995004236</v>
      </c>
      <c r="AA17">
        <f t="shared" si="4"/>
        <v>0.40647187995004236</v>
      </c>
      <c r="AB17">
        <f t="shared" si="4"/>
        <v>0.40647187995004236</v>
      </c>
      <c r="AC17">
        <f t="shared" si="4"/>
        <v>0.40647187995004236</v>
      </c>
      <c r="AD17">
        <f t="shared" si="4"/>
        <v>0.40647187995004236</v>
      </c>
      <c r="AE17">
        <f t="shared" si="4"/>
        <v>0.40647187995004236</v>
      </c>
      <c r="AF17">
        <f t="shared" si="4"/>
        <v>0.40647187995004236</v>
      </c>
      <c r="AG17">
        <f t="shared" si="4"/>
        <v>0.40647187995004236</v>
      </c>
      <c r="AH17">
        <f t="shared" si="4"/>
        <v>0.40647187995004236</v>
      </c>
      <c r="AI17">
        <f>$C$17/($C$18-$C$19*AH17)</f>
        <v>0.40647187995004236</v>
      </c>
    </row>
    <row r="18" spans="2:35" x14ac:dyDescent="0.25">
      <c r="B18" s="1" t="s">
        <v>16</v>
      </c>
      <c r="C18" s="1">
        <f>2*C9/(C3^2)+C8*C7/C4</f>
        <v>11867999.999999998</v>
      </c>
    </row>
    <row r="19" spans="2:35" x14ac:dyDescent="0.25">
      <c r="B19" s="1" t="s">
        <v>17</v>
      </c>
      <c r="C19" s="1">
        <f>C17</f>
        <v>4139999.9999999991</v>
      </c>
      <c r="E19" t="s">
        <v>20</v>
      </c>
      <c r="F19">
        <f>F11</f>
        <v>61.353917184922523</v>
      </c>
      <c r="G19">
        <f>(F19*$C$19-G15)/($C$18-$C$19*F17)</f>
        <v>37.935884058399161</v>
      </c>
      <c r="H19">
        <f t="shared" ref="H19:AH19" si="5">(G19*$C$19-H15)/($C$18-$C$19*G17)</f>
        <v>32.00368108933003</v>
      </c>
      <c r="I19">
        <f t="shared" si="5"/>
        <v>28.496181979563474</v>
      </c>
      <c r="J19">
        <f t="shared" si="5"/>
        <v>25.616759675803344</v>
      </c>
      <c r="K19">
        <f t="shared" si="5"/>
        <v>23.106329919016222</v>
      </c>
      <c r="L19">
        <f t="shared" si="5"/>
        <v>20.925503376449441</v>
      </c>
      <c r="M19">
        <f t="shared" si="5"/>
        <v>19.067286355196696</v>
      </c>
      <c r="N19">
        <f t="shared" si="5"/>
        <v>17.529481588658484</v>
      </c>
      <c r="O19">
        <f t="shared" si="5"/>
        <v>16.310623103068458</v>
      </c>
      <c r="P19">
        <f t="shared" si="5"/>
        <v>15.409386620759388</v>
      </c>
      <c r="Q19">
        <f t="shared" si="5"/>
        <v>14.824487553394237</v>
      </c>
      <c r="R19">
        <f t="shared" si="5"/>
        <v>14.55461461444288</v>
      </c>
      <c r="S19">
        <f t="shared" si="5"/>
        <v>14.598327066547157</v>
      </c>
      <c r="T19">
        <f t="shared" si="5"/>
        <v>14.953903109979493</v>
      </c>
      <c r="U19">
        <f t="shared" si="5"/>
        <v>15.619138865259181</v>
      </c>
      <c r="V19">
        <f t="shared" si="5"/>
        <v>16.591102378668236</v>
      </c>
      <c r="W19">
        <f t="shared" si="5"/>
        <v>17.865850971021143</v>
      </c>
      <c r="X19">
        <f t="shared" si="5"/>
        <v>19.438123732862422</v>
      </c>
      <c r="Y19">
        <f t="shared" si="5"/>
        <v>21.301023932302101</v>
      </c>
      <c r="Z19">
        <f t="shared" si="5"/>
        <v>23.445708329790005</v>
      </c>
      <c r="AA19">
        <f t="shared" si="5"/>
        <v>25.861101687221581</v>
      </c>
      <c r="AB19">
        <f t="shared" si="5"/>
        <v>28.533654964958657</v>
      </c>
      <c r="AC19">
        <f t="shared" si="5"/>
        <v>31.447164733573473</v>
      </c>
      <c r="AD19">
        <f t="shared" si="5"/>
        <v>34.58266917900476</v>
      </c>
      <c r="AE19">
        <f t="shared" si="5"/>
        <v>37.918432825954909</v>
      </c>
      <c r="AF19">
        <f t="shared" si="5"/>
        <v>41.430027904250728</v>
      </c>
      <c r="AG19">
        <f t="shared" si="5"/>
        <v>45.090515372868516</v>
      </c>
      <c r="AH19">
        <f t="shared" si="5"/>
        <v>48.870723295581655</v>
      </c>
      <c r="AI19">
        <f>(AH19*$C$19-AI15)/($C$18-$C$19*AH17)</f>
        <v>52.739614872628174</v>
      </c>
    </row>
  </sheetData>
  <conditionalFormatting sqref="F11:AJ11">
    <cfRule type="colorScale" priority="1">
      <colorScale>
        <cfvo type="min"/>
        <cfvo type="percentile" val="50"/>
        <cfvo type="max"/>
        <color rgb="FF0070C0"/>
        <color rgb="FFFFEB84"/>
        <color rgb="FFFF0000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iterat">
                <anchor moveWithCells="1" sizeWithCells="1">
                  <from>
                    <xdr:col>3</xdr:col>
                    <xdr:colOff>295275</xdr:colOff>
                    <xdr:row>25</xdr:row>
                    <xdr:rowOff>38100</xdr:rowOff>
                  </from>
                  <to>
                    <xdr:col>5</xdr:col>
                    <xdr:colOff>257175</xdr:colOff>
                    <xdr:row>27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1род</vt:lpstr>
      <vt:lpstr>2род</vt:lpstr>
      <vt:lpstr>3род</vt:lpstr>
      <vt:lpstr>1Неявн</vt:lpstr>
      <vt:lpstr>2Неявн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Chstep</dc:creator>
  <cp:lastModifiedBy>Chstep</cp:lastModifiedBy>
  <dcterms:created xsi:type="dcterms:W3CDTF">2021-03-20T15:25:01Z</dcterms:created>
  <dcterms:modified xsi:type="dcterms:W3CDTF">2021-04-03T17:10:45Z</dcterms:modified>
</cp:coreProperties>
</file>
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step\Desktop\MKR_2\"/>
    </mc:Choice>
  </mc:AlternateContent>
  <bookViews>
    <workbookView xWindow="0" yWindow="0" windowWidth="15510" windowHeight="9600"/>
  </bookViews>
  <sheets>
    <sheet name="1род" sheetId="1" r:id="rId1"/>
    <sheet name="2род" sheetId="2" r:id="rId2"/>
    <sheet name="3род" sheetId="3" r:id="rId3"/>
    <sheet name="1Неявн" sheetId="4" r:id="rId4"/>
    <sheet name="2Неявн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9" i="5" s="1"/>
  <c r="J14" i="5"/>
  <c r="Q14" i="5"/>
  <c r="R14" i="5"/>
  <c r="Y14" i="5"/>
  <c r="Z14" i="5"/>
  <c r="AG14" i="5"/>
  <c r="AH14" i="5"/>
  <c r="G15" i="5"/>
  <c r="F14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AJ11" i="5"/>
  <c r="AJ13" i="5" s="1"/>
  <c r="C3" i="5"/>
  <c r="C17" i="5" s="1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G13" i="3"/>
  <c r="H13" i="3"/>
  <c r="X14" i="5" l="1"/>
  <c r="H14" i="5"/>
  <c r="W14" i="5"/>
  <c r="AD14" i="5"/>
  <c r="V14" i="5"/>
  <c r="N14" i="5"/>
  <c r="AC14" i="5"/>
  <c r="U14" i="5"/>
  <c r="M14" i="5"/>
  <c r="I14" i="5"/>
  <c r="AF14" i="5"/>
  <c r="P14" i="5"/>
  <c r="AE14" i="5"/>
  <c r="O14" i="5"/>
  <c r="G14" i="5"/>
  <c r="AB14" i="5"/>
  <c r="T14" i="5"/>
  <c r="L14" i="5"/>
  <c r="AI14" i="5"/>
  <c r="AA14" i="5"/>
  <c r="S14" i="5"/>
  <c r="K14" i="5"/>
  <c r="C19" i="5"/>
  <c r="C18" i="5"/>
  <c r="G10" i="5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G19" i="5" l="1"/>
  <c r="G17" i="5"/>
  <c r="H17" i="5" s="1"/>
  <c r="I17" i="5" l="1"/>
  <c r="H19" i="5"/>
  <c r="I19" i="5" s="1"/>
  <c r="J19" i="5" l="1"/>
  <c r="J17" i="5"/>
  <c r="K19" i="5" l="1"/>
  <c r="K17" i="5"/>
  <c r="L19" i="5" l="1"/>
  <c r="L17" i="5"/>
  <c r="M17" i="5" l="1"/>
  <c r="M19" i="5"/>
  <c r="N19" i="5" s="1"/>
  <c r="N17" i="5" l="1"/>
  <c r="O19" i="5" s="1"/>
  <c r="P19" i="5" l="1"/>
  <c r="O17" i="5"/>
  <c r="P17" i="5" l="1"/>
  <c r="Q19" i="5" s="1"/>
  <c r="Q17" i="5" l="1"/>
  <c r="R19" i="5" s="1"/>
  <c r="R17" i="5" l="1"/>
  <c r="S17" i="5" l="1"/>
  <c r="S19" i="5"/>
  <c r="T17" i="5" l="1"/>
  <c r="T19" i="5"/>
  <c r="U19" i="5" s="1"/>
  <c r="U17" i="5" l="1"/>
  <c r="V17" i="5" l="1"/>
  <c r="V19" i="5"/>
  <c r="W19" i="5" s="1"/>
  <c r="W17" i="5" l="1"/>
  <c r="X19" i="5" s="1"/>
  <c r="X17" i="5" l="1"/>
  <c r="Y17" i="5" l="1"/>
  <c r="Y19" i="5"/>
  <c r="Z19" i="5" l="1"/>
  <c r="AA19" i="5" s="1"/>
  <c r="Z17" i="5"/>
  <c r="AA17" i="5" l="1"/>
  <c r="AB19" i="5" s="1"/>
  <c r="AB17" i="5" l="1"/>
  <c r="AC17" i="5" l="1"/>
  <c r="AC19" i="5"/>
  <c r="AD19" i="5" l="1"/>
  <c r="AE19" i="5" s="1"/>
  <c r="AD17" i="5"/>
  <c r="AF19" i="5" l="1"/>
  <c r="AE17" i="5"/>
  <c r="AF17" i="5" l="1"/>
  <c r="AG17" i="5" l="1"/>
  <c r="AG19" i="5"/>
  <c r="AH19" i="5" l="1"/>
  <c r="AH17" i="5"/>
  <c r="AI17" i="5" l="1"/>
  <c r="AI19" i="5"/>
  <c r="AI13" i="5" l="1"/>
  <c r="AH13" i="5" s="1"/>
  <c r="AG13" i="5" s="1"/>
  <c r="AF13" i="5" s="1"/>
  <c r="AE13" i="5" s="1"/>
  <c r="AD13" i="5" s="1"/>
  <c r="AC13" i="5" s="1"/>
  <c r="AB13" i="5" s="1"/>
  <c r="AA13" i="5" s="1"/>
  <c r="Z13" i="5" s="1"/>
  <c r="Y13" i="5" s="1"/>
  <c r="X13" i="5" s="1"/>
  <c r="W13" i="5" s="1"/>
  <c r="V13" i="5" s="1"/>
  <c r="U13" i="5" s="1"/>
  <c r="T13" i="5" s="1"/>
  <c r="S13" i="5" s="1"/>
  <c r="R13" i="5" s="1"/>
  <c r="Q13" i="5" s="1"/>
  <c r="P13" i="5" s="1"/>
  <c r="O13" i="5" s="1"/>
  <c r="N13" i="5" s="1"/>
  <c r="M13" i="5" s="1"/>
  <c r="L13" i="5" s="1"/>
  <c r="K13" i="5" s="1"/>
  <c r="J13" i="5" s="1"/>
  <c r="I13" i="5" s="1"/>
  <c r="H13" i="5" s="1"/>
  <c r="G13" i="5" s="1"/>
  <c r="G13" i="1" l="1"/>
  <c r="Z13" i="1"/>
  <c r="I13" i="1"/>
  <c r="H13" i="1"/>
  <c r="C4" i="1" l="1"/>
  <c r="C4" i="2"/>
  <c r="G17" i="4"/>
  <c r="G15" i="4"/>
  <c r="G19" i="4" s="1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3" i="4"/>
  <c r="H17" i="4"/>
  <c r="I17" i="4" s="1"/>
  <c r="F19" i="4"/>
  <c r="C18" i="4"/>
  <c r="J17" i="4" s="1"/>
  <c r="C19" i="4"/>
  <c r="C17" i="4"/>
  <c r="AJ11" i="4"/>
  <c r="F11" i="4"/>
  <c r="C3" i="4"/>
  <c r="K17" i="4" l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H19" i="4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J11" i="3" l="1"/>
  <c r="C3" i="3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C4" i="3" l="1"/>
  <c r="F11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AA13" i="1"/>
  <c r="AB13" i="1"/>
  <c r="AC13" i="1"/>
  <c r="AD13" i="1"/>
  <c r="AE13" i="1"/>
  <c r="AF13" i="1"/>
  <c r="AG13" i="1"/>
  <c r="AH13" i="1"/>
  <c r="AI13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G13" i="2" l="1"/>
  <c r="AI19" i="4"/>
  <c r="AI13" i="4" s="1"/>
  <c r="AH13" i="4" s="1"/>
  <c r="AG13" i="4" s="1"/>
  <c r="AF13" i="4" s="1"/>
  <c r="AE13" i="4" s="1"/>
  <c r="AD13" i="4" s="1"/>
  <c r="AC13" i="4" s="1"/>
  <c r="AB13" i="4" s="1"/>
  <c r="AA13" i="4" s="1"/>
  <c r="Z13" i="4" s="1"/>
  <c r="Y13" i="4" s="1"/>
  <c r="X13" i="4" s="1"/>
  <c r="W13" i="4" s="1"/>
  <c r="V13" i="4" s="1"/>
  <c r="U13" i="4" s="1"/>
  <c r="T13" i="4" s="1"/>
  <c r="S13" i="4" s="1"/>
  <c r="R13" i="4" s="1"/>
  <c r="Q13" i="4" s="1"/>
  <c r="P13" i="4" s="1"/>
  <c r="O13" i="4" s="1"/>
  <c r="N13" i="4" s="1"/>
  <c r="M13" i="4" s="1"/>
  <c r="L13" i="4" s="1"/>
  <c r="K13" i="4" s="1"/>
  <c r="J13" i="4" s="1"/>
  <c r="I13" i="4" s="1"/>
  <c r="H13" i="4" s="1"/>
  <c r="G13" i="4" s="1"/>
</calcChain>
</file>

<file path=xl/sharedStrings.xml><?xml version="1.0" encoding="utf-8"?>
<sst xmlns="http://schemas.openxmlformats.org/spreadsheetml/2006/main" count="76" uniqueCount="22">
  <si>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</si>
  <si>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</si>
  <si>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</si>
  <si>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</si>
  <si>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</si>
  <si>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</si>
  <si>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</si>
  <si>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</si>
  <si>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</si>
  <si>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</si>
  <si>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</si>
  <si>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</si>
  <si>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</si>
  <si>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</si>
  <si>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alpha</t>
  </si>
  <si>
    <t>A</t>
  </si>
  <si>
    <t>B</t>
  </si>
  <si>
    <t>C</t>
  </si>
  <si>
    <t>F_i</t>
  </si>
  <si>
    <t>alpha_i</t>
  </si>
  <si>
    <t>beta_i</t>
  </si>
  <si>
    <t>T(n+1)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</si>
</sst>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'3род'!$F$11:$AJ$11</c:f>
              <c:numCache>
                <c:formatCode>General</c:formatCode>
                <c:ptCount val="31"/>
                <c:pt idx="0">
                  <c:v>327.04161338148651</c:v>
                </c:pt>
                <c:pt idx="1">
                  <c:v>327.04161338148651</c:v>
                </c:pt>
                <c:pt idx="2">
                  <c:v>318.70077123344061</c:v>
                </c:pt>
                <c:pt idx="3">
                  <c:v>310.39800684302708</c:v>
                </c:pt>
                <c:pt idx="4">
                  <c:v>302.13314637700455</c:v>
                </c:pt>
                <c:pt idx="5">
                  <c:v>293.90601679571824</c:v>
                </c:pt>
                <c:pt idx="6">
                  <c:v>285.71644584947688</c:v>
                </c:pt>
                <c:pt idx="7">
                  <c:v>277.56426207494667</c:v>
                </c:pt>
                <c:pt idx="8">
                  <c:v>269.44929479156104</c:v>
                </c:pt>
                <c:pt idx="9">
                  <c:v>261.37137409794735</c:v>
                </c:pt>
                <c:pt idx="10">
                  <c:v>253.33033086836974</c:v>
                </c:pt>
                <c:pt idx="11">
                  <c:v>245.32599674918805</c:v>
                </c:pt>
                <c:pt idx="12">
                  <c:v>237.35820415533308</c:v>
                </c:pt>
                <c:pt idx="13">
                  <c:v>229.42678626679785</c:v>
                </c:pt>
                <c:pt idx="14">
                  <c:v>221.53157702514505</c:v>
                </c:pt>
                <c:pt idx="15">
                  <c:v>213.67241113003027</c:v>
                </c:pt>
                <c:pt idx="16">
                  <c:v>205.849124035741</c:v>
                </c:pt>
                <c:pt idx="17">
                  <c:v>198.06155194775175</c:v>
                </c:pt>
                <c:pt idx="18">
                  <c:v>190.30953181929462</c:v>
                </c:pt>
                <c:pt idx="19">
                  <c:v>182.59290134794566</c:v>
                </c:pt>
                <c:pt idx="20">
                  <c:v>174.91149897222675</c:v>
                </c:pt>
                <c:pt idx="21">
                  <c:v>167.26516386822311</c:v>
                </c:pt>
                <c:pt idx="22">
                  <c:v>159.65373594621602</c:v>
                </c:pt>
                <c:pt idx="23">
                  <c:v>152.07705584733111</c:v>
                </c:pt>
                <c:pt idx="24">
                  <c:v>144.53496494020197</c:v>
                </c:pt>
                <c:pt idx="25">
                  <c:v>137.02730531764888</c:v>
                </c:pt>
                <c:pt idx="26">
                  <c:v>129.55391979337267</c:v>
                </c:pt>
                <c:pt idx="27">
                  <c:v>122.11465189866379</c:v>
                </c:pt>
                <c:pt idx="28">
                  <c:v>114.7093458791264</c:v>
                </c:pt>
                <c:pt idx="29">
                  <c:v>107.33784669141734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'1Неявн'!$F$11:$AJ$11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260.34528884307156</c:v>
                </c:pt>
                <c:pt idx="3">
                  <c:v>240.94322870396985</c:v>
                </c:pt>
                <c:pt idx="4">
                  <c:v>222.04259121089365</c:v>
                </c:pt>
                <c:pt idx="5">
                  <c:v>203.79596876432669</c:v>
                </c:pt>
                <c:pt idx="6">
                  <c:v>186.34413876917304</c:v>
                </c:pt>
                <c:pt idx="7">
                  <c:v>169.81388358198302</c:v>
                </c:pt>
                <c:pt idx="8">
                  <c:v>154.31625985996357</c:v>
                </c:pt>
                <c:pt idx="9">
                  <c:v>139.94534749959706</c:v>
                </c:pt>
                <c:pt idx="10">
                  <c:v>126.77748357718193</c:v>
                </c:pt>
                <c:pt idx="11">
                  <c:v>114.87096325508222</c:v>
                </c:pt>
                <c:pt idx="12">
                  <c:v>104.26616904525903</c:v>
                </c:pt>
                <c:pt idx="13">
                  <c:v>94.986073365012174</c:v>
                </c:pt>
                <c:pt idx="14">
                  <c:v>87.037047818685082</c:v>
                </c:pt>
                <c:pt idx="15">
                  <c:v>80.409906485303551</c:v>
                </c:pt>
                <c:pt idx="16">
                  <c:v>75.081109624202284</c:v>
                </c:pt>
                <c:pt idx="17">
                  <c:v>71.014058149603102</c:v>
                </c:pt>
                <c:pt idx="18">
                  <c:v>68.160417145848228</c:v>
                </c:pt>
                <c:pt idx="19">
                  <c:v>66.461417524955024</c:v>
                </c:pt>
                <c:pt idx="20">
                  <c:v>65.849097461429992</c:v>
                </c:pt>
                <c:pt idx="21">
                  <c:v>66.247458255201138</c:v>
                </c:pt>
                <c:pt idx="22">
                  <c:v>67.573521648220535</c:v>
                </c:pt>
                <c:pt idx="23">
                  <c:v>69.738286421168482</c:v>
                </c:pt>
                <c:pt idx="24">
                  <c:v>72.64759065221422</c:v>
                </c:pt>
                <c:pt idx="25">
                  <c:v>76.202891959402834</c:v>
                </c:pt>
                <c:pt idx="26">
                  <c:v>80.30198131052552</c:v>
                </c:pt>
                <c:pt idx="27">
                  <c:v>84.839646794335664</c:v>
                </c:pt>
                <c:pt idx="28">
                  <c:v>89.708302566510568</c:v>
                </c:pt>
                <c:pt idx="29">
                  <c:v>94.798595640746925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6-494E-80E8-6E1EF26F1283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6-494E-80E8-6E1EF26F1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'2Неявн'!$F$11:$AJ$11</c:f>
              <c:numCache>
                <c:formatCode>General</c:formatCode>
                <c:ptCount val="31"/>
                <c:pt idx="0">
                  <c:v>61.353917184922523</c:v>
                </c:pt>
                <c:pt idx="1">
                  <c:v>54.687250518255858</c:v>
                </c:pt>
                <c:pt idx="2">
                  <c:v>49.204531075857794</c:v>
                </c:pt>
                <c:pt idx="3">
                  <c:v>44.27032720767906</c:v>
                </c:pt>
                <c:pt idx="4">
                  <c:v>39.883001572086926</c:v>
                </c:pt>
                <c:pt idx="5">
                  <c:v>36.040564234699588</c:v>
                </c:pt>
                <c:pt idx="6">
                  <c:v>32.740798339206165</c:v>
                </c:pt>
                <c:pt idx="7">
                  <c:v>29.981384668230437</c:v>
                </c:pt>
                <c:pt idx="8">
                  <c:v>27.760007137434187</c:v>
                </c:pt>
                <c:pt idx="9">
                  <c:v>26.074420858388201</c:v>
                </c:pt>
                <c:pt idx="10">
                  <c:v>24.922465393256438</c:v>
                </c:pt>
                <c:pt idx="11">
                  <c:v>24.302008211640356</c:v>
                </c:pt>
                <c:pt idx="12">
                  <c:v>24.210807064725024</c:v>
                </c:pt>
                <c:pt idx="13">
                  <c:v>24.64628484405009</c:v>
                </c:pt>
                <c:pt idx="14">
                  <c:v>25.60521623773473</c:v>
                </c:pt>
                <c:pt idx="15">
                  <c:v>27.08333180699308</c:v>
                </c:pt>
                <c:pt idx="16">
                  <c:v>29.074851591499261</c:v>
                </c:pt>
                <c:pt idx="17">
                  <c:v>31.571966585187671</c:v>
                </c:pt>
                <c:pt idx="18">
                  <c:v>34.564291961676929</c:v>
                </c:pt>
                <c:pt idx="19">
                  <c:v>38.038320342823056</c:v>
                </c:pt>
                <c:pt idx="20">
                  <c:v>41.976906313299011</c:v>
                </c:pt>
                <c:pt idx="21">
                  <c:v>46.358814484455024</c:v>
                </c:pt>
                <c:pt idx="22">
                  <c:v>51.158362504085346</c:v>
                </c:pt>
                <c:pt idx="23">
                  <c:v>56.345187426458871</c:v>
                </c:pt>
                <c:pt idx="24">
                  <c:v>61.884158874645834</c:v>
                </c:pt>
                <c:pt idx="25">
                  <c:v>67.735455669085397</c:v>
                </c:pt>
                <c:pt idx="26">
                  <c:v>73.854814428008083</c:v>
                </c:pt>
                <c:pt idx="27">
                  <c:v>80.193949553591779</c:v>
                </c:pt>
                <c:pt idx="28">
                  <c:v>86.70113457922173</c:v>
                </c:pt>
                <c:pt idx="29">
                  <c:v>93.321925693270089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B-461C-A0B2-275EE2DABC0E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1B-461C-A0B2-275EE2DA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57150</xdr:rowOff>
        </xdr:from>
        <xdr:to>
          <xdr:col>4</xdr:col>
          <xdr:colOff>0</xdr:colOff>
          <xdr:row>20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17</xdr:row>
          <xdr:rowOff>66675</xdr:rowOff>
        </xdr:from>
        <xdr:to>
          <xdr:col>5</xdr:col>
          <xdr:colOff>200025</xdr:colOff>
          <xdr:row>21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N13"/>
  <sheetViews>
    <sheetView tabSelected="1" zoomScale="70" zoomScaleNormal="70" workbookViewId="0">
      <selection activeCell="G11" sqref="G11:AI11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2</xdr:col>
                    <xdr:colOff>9525</xdr:colOff>
                    <xdr:row>18</xdr:row>
                    <xdr:rowOff>57150</xdr:rowOff>
                  </from>
                  <to>
                    <xdr:col>4</xdr:col>
                    <xdr:colOff>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N14"/>
  <sheetViews>
    <sheetView zoomScale="70" zoomScaleNormal="70" workbookViewId="0">
      <selection activeCell="G11" sqref="G11:AI11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AN14"/>
  <sheetViews>
    <sheetView topLeftCell="A6" zoomScale="70" zoomScaleNormal="70" workbookViewId="0">
      <selection activeCell="V39" sqref="V39"/>
    </sheetView>
  </sheetViews>
  <sheetFormatPr defaultRowHeight="15" x14ac:dyDescent="0.25"/>
  <cols>
    <col min="6" max="6" width="10.28515625" bestFit="1" customWidth="1"/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1500</v>
      </c>
      <c r="E11" t="s">
        <v>9</v>
      </c>
      <c r="F11">
        <f>(F14/C9)*C3+G11</f>
        <v>327.04161338148651</v>
      </c>
      <c r="G11">
        <v>327.04161338148651</v>
      </c>
      <c r="H11">
        <v>318.70077123344061</v>
      </c>
      <c r="I11">
        <v>310.39800684302708</v>
      </c>
      <c r="J11">
        <v>302.13314637700455</v>
      </c>
      <c r="K11">
        <v>293.90601679571824</v>
      </c>
      <c r="L11">
        <v>285.71644584947688</v>
      </c>
      <c r="M11">
        <v>277.56426207494667</v>
      </c>
      <c r="N11">
        <v>269.44929479156104</v>
      </c>
      <c r="O11">
        <v>261.37137409794735</v>
      </c>
      <c r="P11">
        <v>253.33033086836974</v>
      </c>
      <c r="Q11">
        <v>245.32599674918805</v>
      </c>
      <c r="R11">
        <v>237.35820415533308</v>
      </c>
      <c r="S11">
        <v>229.42678626679785</v>
      </c>
      <c r="T11">
        <v>221.53157702514505</v>
      </c>
      <c r="U11">
        <v>213.67241113003027</v>
      </c>
      <c r="V11">
        <v>205.849124035741</v>
      </c>
      <c r="W11">
        <v>198.06155194775175</v>
      </c>
      <c r="X11">
        <v>190.30953181929462</v>
      </c>
      <c r="Y11">
        <v>182.59290134794566</v>
      </c>
      <c r="Z11">
        <v>174.91149897222675</v>
      </c>
      <c r="AA11">
        <v>167.26516386822311</v>
      </c>
      <c r="AB11">
        <v>159.65373594621602</v>
      </c>
      <c r="AC11">
        <v>152.07705584733111</v>
      </c>
      <c r="AD11">
        <v>144.53496494020197</v>
      </c>
      <c r="AE11">
        <v>137.02730531764888</v>
      </c>
      <c r="AF11">
        <v>129.55391979337267</v>
      </c>
      <c r="AG11">
        <v>122.11465189866379</v>
      </c>
      <c r="AH11">
        <v>114.7093458791264</v>
      </c>
      <c r="AI11">
        <v>107.33784669141734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(-$C$9*H11-$C$3*$C$14*$C$11)/($C$3*$C$14-$C$9)</f>
        <v>327.04161338148651</v>
      </c>
      <c r="H13">
        <f>(-$C$9*I11-$C$3*$C$14*$C$11)/($C$3*$C$14-$C$9)</f>
        <v>318.70077123344061</v>
      </c>
      <c r="I13">
        <f t="shared" ref="I13:AI13" si="1">(-$C$9*J11-$C$3*$C$14*$C$11)/($C$3*$C$14-$C$9)</f>
        <v>310.39800684302708</v>
      </c>
      <c r="J13">
        <f t="shared" si="1"/>
        <v>302.13314637700455</v>
      </c>
      <c r="K13">
        <f t="shared" si="1"/>
        <v>293.90601679571824</v>
      </c>
      <c r="L13">
        <f t="shared" si="1"/>
        <v>285.71644584947688</v>
      </c>
      <c r="M13">
        <f t="shared" si="1"/>
        <v>277.56426207494667</v>
      </c>
      <c r="N13">
        <f t="shared" si="1"/>
        <v>269.44929479156104</v>
      </c>
      <c r="O13">
        <f t="shared" si="1"/>
        <v>261.37137409794735</v>
      </c>
      <c r="P13">
        <f t="shared" si="1"/>
        <v>253.33033086836974</v>
      </c>
      <c r="Q13">
        <f t="shared" si="1"/>
        <v>245.32599674918805</v>
      </c>
      <c r="R13">
        <f t="shared" si="1"/>
        <v>237.35820415533308</v>
      </c>
      <c r="S13">
        <f t="shared" si="1"/>
        <v>229.42678626679785</v>
      </c>
      <c r="T13">
        <f t="shared" si="1"/>
        <v>221.53157702514505</v>
      </c>
      <c r="U13">
        <f t="shared" si="1"/>
        <v>213.67241113003027</v>
      </c>
      <c r="V13">
        <f t="shared" si="1"/>
        <v>205.849124035741</v>
      </c>
      <c r="W13">
        <f t="shared" si="1"/>
        <v>198.06155194775175</v>
      </c>
      <c r="X13">
        <f t="shared" si="1"/>
        <v>190.30953181929462</v>
      </c>
      <c r="Y13">
        <f t="shared" si="1"/>
        <v>182.59290134794566</v>
      </c>
      <c r="Z13">
        <f t="shared" si="1"/>
        <v>174.91149897222675</v>
      </c>
      <c r="AA13">
        <f t="shared" si="1"/>
        <v>167.26516386822311</v>
      </c>
      <c r="AB13">
        <f t="shared" si="1"/>
        <v>159.65373594621602</v>
      </c>
      <c r="AC13">
        <f t="shared" si="1"/>
        <v>152.07705584733111</v>
      </c>
      <c r="AD13">
        <f t="shared" si="1"/>
        <v>144.53496494020197</v>
      </c>
      <c r="AE13">
        <f t="shared" si="1"/>
        <v>137.02730531764888</v>
      </c>
      <c r="AF13">
        <f t="shared" si="1"/>
        <v>129.55391979337267</v>
      </c>
      <c r="AG13">
        <f t="shared" si="1"/>
        <v>122.11465189866379</v>
      </c>
      <c r="AH13">
        <f t="shared" si="1"/>
        <v>114.7093458791264</v>
      </c>
      <c r="AI13">
        <f t="shared" si="1"/>
        <v>107.33784669141734</v>
      </c>
    </row>
    <row r="14" spans="2:40" x14ac:dyDescent="0.25">
      <c r="B14" s="1" t="s">
        <v>14</v>
      </c>
      <c r="C14" s="1">
        <v>63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terat">
                <anchor moveWithCells="1" sizeWithCells="1">
                  <from>
                    <xdr:col>1</xdr:col>
                    <xdr:colOff>228600</xdr:colOff>
                    <xdr:row>17</xdr:row>
                    <xdr:rowOff>66675</xdr:rowOff>
                  </from>
                  <to>
                    <xdr:col>5</xdr:col>
                    <xdr:colOff>200025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AJ21"/>
  <sheetViews>
    <sheetView topLeftCell="C11" zoomScale="70" zoomScaleNormal="70" workbookViewId="0">
      <selection activeCell="V35" sqref="V35"/>
    </sheetView>
  </sheetViews>
  <sheetFormatPr defaultRowHeight="15" x14ac:dyDescent="0.25"/>
  <cols>
    <col min="7" max="7" width="12.140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60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25">
      <c r="E15" t="s">
        <v>18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25">
      <c r="B17" s="1" t="s">
        <v>15</v>
      </c>
      <c r="C17" s="1">
        <f>C9/(C3^2)</f>
        <v>4139999.9999999991</v>
      </c>
      <c r="E17" t="s">
        <v>19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25">
      <c r="B18" s="1" t="s">
        <v>16</v>
      </c>
      <c r="C18" s="1">
        <f>2*C9/(C3^2)+C8*C7/C4</f>
        <v>11867999.999999998</v>
      </c>
    </row>
    <row r="19" spans="2:35" x14ac:dyDescent="0.25">
      <c r="B19" s="1" t="s">
        <v>17</v>
      </c>
      <c r="C19" s="1">
        <f>C17</f>
        <v>4139999.9999999991</v>
      </c>
      <c r="E19" t="s">
        <v>20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25">
      <c r="E21" t="s">
        <v>21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9"/>
  <sheetViews>
    <sheetView zoomScale="85" zoomScaleNormal="85" workbookViewId="0">
      <selection activeCell="O23" sqref="O23"/>
    </sheetView>
  </sheetViews>
  <sheetFormatPr defaultRowHeight="15" x14ac:dyDescent="0.25"/>
  <cols>
    <col min="7" max="7" width="12.140625" bestFit="1" customWidth="1"/>
    <col min="8" max="8" width="11.28515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60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12</v>
      </c>
      <c r="C11" s="1">
        <v>92000</v>
      </c>
      <c r="E11" t="s">
        <v>9</v>
      </c>
      <c r="F11">
        <f>(F14/C9)*C3+G11</f>
        <v>61.353917184922523</v>
      </c>
      <c r="G11">
        <v>54.687250518255858</v>
      </c>
      <c r="H11">
        <v>49.204531075857794</v>
      </c>
      <c r="I11">
        <v>44.27032720767906</v>
      </c>
      <c r="J11">
        <v>39.883001572086926</v>
      </c>
      <c r="K11">
        <v>36.040564234699588</v>
      </c>
      <c r="L11">
        <v>32.740798339206165</v>
      </c>
      <c r="M11">
        <v>29.981384668230437</v>
      </c>
      <c r="N11">
        <v>27.760007137434187</v>
      </c>
      <c r="O11">
        <v>26.074420858388201</v>
      </c>
      <c r="P11">
        <v>24.922465393256438</v>
      </c>
      <c r="Q11">
        <v>24.302008211640356</v>
      </c>
      <c r="R11">
        <v>24.210807064725024</v>
      </c>
      <c r="S11">
        <v>24.64628484405009</v>
      </c>
      <c r="T11">
        <v>25.60521623773473</v>
      </c>
      <c r="U11">
        <v>27.08333180699308</v>
      </c>
      <c r="V11">
        <v>29.074851591499261</v>
      </c>
      <c r="W11">
        <v>31.571966585187671</v>
      </c>
      <c r="X11">
        <v>34.564291961676929</v>
      </c>
      <c r="Y11">
        <v>38.038320342823056</v>
      </c>
      <c r="Z11">
        <v>41.976906313299011</v>
      </c>
      <c r="AA11">
        <v>46.358814484455024</v>
      </c>
      <c r="AB11">
        <v>51.158362504085346</v>
      </c>
      <c r="AC11">
        <v>56.345187426458871</v>
      </c>
      <c r="AD11">
        <v>61.884158874645834</v>
      </c>
      <c r="AE11">
        <v>67.735455669085397</v>
      </c>
      <c r="AF11">
        <v>73.854814428008083</v>
      </c>
      <c r="AG11">
        <v>80.193949553591779</v>
      </c>
      <c r="AH11">
        <v>86.70113457922173</v>
      </c>
      <c r="AI11">
        <v>93.321925693270089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 t="shared" ref="G13:AH13" si="1">G17*H13+G19</f>
        <v>55.320833355391997</v>
      </c>
      <c r="H13">
        <f t="shared" si="1"/>
        <v>49.836854651379468</v>
      </c>
      <c r="I13">
        <f t="shared" si="1"/>
        <v>44.900889712819058</v>
      </c>
      <c r="J13">
        <f t="shared" si="1"/>
        <v>40.511412278713316</v>
      </c>
      <c r="K13">
        <f t="shared" si="1"/>
        <v>36.666557457017106</v>
      </c>
      <c r="L13">
        <f t="shared" si="1"/>
        <v>33.364230094662744</v>
      </c>
      <c r="M13">
        <f t="shared" si="1"/>
        <v>30.602210253704079</v>
      </c>
      <c r="N13">
        <f t="shared" si="1"/>
        <v>28.378239253489237</v>
      </c>
      <c r="O13">
        <f t="shared" si="1"/>
        <v>26.690069420522114</v>
      </c>
      <c r="P13">
        <f t="shared" si="1"/>
        <v>25.535461674737704</v>
      </c>
      <c r="Q13">
        <f t="shared" si="1"/>
        <v>24.91211737290373</v>
      </c>
      <c r="R13">
        <f t="shared" si="1"/>
        <v>24.817534344164677</v>
      </c>
      <c r="S13">
        <f t="shared" si="1"/>
        <v>25.248781624273327</v>
      </c>
      <c r="T13">
        <f t="shared" si="1"/>
        <v>26.202192780575459</v>
      </c>
      <c r="U13">
        <f t="shared" si="1"/>
        <v>27.672983607339553</v>
      </c>
      <c r="V13">
        <f t="shared" si="1"/>
        <v>29.654805994403926</v>
      </c>
      <c r="W13">
        <f t="shared" si="1"/>
        <v>32.139255530652335</v>
      </c>
      <c r="X13">
        <f t="shared" si="1"/>
        <v>35.11535548630345</v>
      </c>
      <c r="Y13">
        <f t="shared" si="1"/>
        <v>38.569043829964215</v>
      </c>
      <c r="Z13">
        <f t="shared" si="1"/>
        <v>42.482692529147336</v>
      </c>
      <c r="AA13">
        <f t="shared" si="1"/>
        <v>46.834689282065668</v>
      </c>
      <c r="AB13">
        <f t="shared" si="1"/>
        <v>51.599110859579909</v>
      </c>
      <c r="AC13">
        <f t="shared" si="1"/>
        <v>56.745514345189449</v>
      </c>
      <c r="AD13">
        <f t="shared" si="1"/>
        <v>62.23886782703218</v>
      </c>
      <c r="AE13">
        <f t="shared" si="1"/>
        <v>68.03963573427643</v>
      </c>
      <c r="AF13">
        <f t="shared" si="1"/>
        <v>74.104026364686234</v>
      </c>
      <c r="AG13">
        <f t="shared" si="1"/>
        <v>80.384400673550445</v>
      </c>
      <c r="AH13">
        <f t="shared" si="1"/>
        <v>86.829832619712207</v>
      </c>
      <c r="AI13">
        <f>AI17*AJ13+AI19</f>
        <v>93.386802867632412</v>
      </c>
      <c r="AJ13">
        <f>AJ11</f>
        <v>100</v>
      </c>
    </row>
    <row r="14" spans="2:36" x14ac:dyDescent="0.25">
      <c r="E14" t="s">
        <v>11</v>
      </c>
      <c r="F14">
        <f>C11</f>
        <v>92000</v>
      </c>
      <c r="G14">
        <f>-$C$9*((G11-F11)/$C$3)</f>
        <v>91999.999999999956</v>
      </c>
      <c r="H14">
        <f t="shared" ref="H14:AI14" si="2">-$C$9*((H11-G11)/$C$3)</f>
        <v>75661.528305093278</v>
      </c>
      <c r="I14">
        <f t="shared" si="2"/>
        <v>68092.013380866527</v>
      </c>
      <c r="J14">
        <f t="shared" si="2"/>
        <v>60545.093771171443</v>
      </c>
      <c r="K14">
        <f t="shared" si="2"/>
        <v>53025.635255945257</v>
      </c>
      <c r="L14">
        <f t="shared" si="2"/>
        <v>45536.769357809229</v>
      </c>
      <c r="M14">
        <f t="shared" si="2"/>
        <v>38079.908659465051</v>
      </c>
      <c r="N14">
        <f t="shared" si="2"/>
        <v>30655.009924988248</v>
      </c>
      <c r="O14">
        <f t="shared" si="2"/>
        <v>23261.090650834594</v>
      </c>
      <c r="P14">
        <f t="shared" si="2"/>
        <v>15896.985418818334</v>
      </c>
      <c r="Q14">
        <f t="shared" si="2"/>
        <v>8562.3091063019347</v>
      </c>
      <c r="R14">
        <f t="shared" si="2"/>
        <v>1258.5758274315722</v>
      </c>
      <c r="S14">
        <f t="shared" si="2"/>
        <v>-6009.5933546859033</v>
      </c>
      <c r="T14">
        <f t="shared" si="2"/>
        <v>-13233.253232848032</v>
      </c>
      <c r="U14">
        <f t="shared" si="2"/>
        <v>-20397.994855765224</v>
      </c>
      <c r="V14">
        <f t="shared" si="2"/>
        <v>-27482.9730261853</v>
      </c>
      <c r="W14">
        <f t="shared" si="2"/>
        <v>-34460.186912900055</v>
      </c>
      <c r="X14">
        <f t="shared" si="2"/>
        <v>-41294.090195551769</v>
      </c>
      <c r="Y14">
        <f t="shared" si="2"/>
        <v>-47941.59165981655</v>
      </c>
      <c r="Z14">
        <f t="shared" si="2"/>
        <v>-54352.486392568178</v>
      </c>
      <c r="AA14">
        <f t="shared" si="2"/>
        <v>-60470.332761952974</v>
      </c>
      <c r="AB14">
        <f t="shared" si="2"/>
        <v>-66233.762670898446</v>
      </c>
      <c r="AC14">
        <f t="shared" si="2"/>
        <v>-71578.183928754632</v>
      </c>
      <c r="AD14">
        <f t="shared" si="2"/>
        <v>-76437.805984980092</v>
      </c>
      <c r="AE14">
        <f t="shared" si="2"/>
        <v>-80747.895763265959</v>
      </c>
      <c r="AF14">
        <f t="shared" si="2"/>
        <v>-84447.150873133069</v>
      </c>
      <c r="AG14">
        <f t="shared" si="2"/>
        <v>-87480.064733054984</v>
      </c>
      <c r="AH14">
        <f t="shared" si="2"/>
        <v>-89799.153353693313</v>
      </c>
      <c r="AI14">
        <f t="shared" si="2"/>
        <v>-91366.917373867342</v>
      </c>
    </row>
    <row r="15" spans="2:36" x14ac:dyDescent="0.25">
      <c r="E15" t="s">
        <v>18</v>
      </c>
      <c r="G15">
        <f>-$C$8*$C$7/$C$4*G11</f>
        <v>-196217854.85950202</v>
      </c>
      <c r="H15">
        <f t="shared" ref="H15:AH15" si="3">-$C$8*$C$7/$C$4*H11</f>
        <v>-176545857.50017777</v>
      </c>
      <c r="I15">
        <f t="shared" si="3"/>
        <v>-158841934.02115247</v>
      </c>
      <c r="J15">
        <f t="shared" si="3"/>
        <v>-143100209.64064789</v>
      </c>
      <c r="K15">
        <f t="shared" si="3"/>
        <v>-129313544.47410212</v>
      </c>
      <c r="L15">
        <f t="shared" si="3"/>
        <v>-117473984.44107172</v>
      </c>
      <c r="M15">
        <f t="shared" si="3"/>
        <v>-107573208.18961081</v>
      </c>
      <c r="N15">
        <f t="shared" si="3"/>
        <v>-99602905.609113857</v>
      </c>
      <c r="O15">
        <f t="shared" si="3"/>
        <v>-93555022.039896861</v>
      </c>
      <c r="P15">
        <f t="shared" si="3"/>
        <v>-89421805.831004098</v>
      </c>
      <c r="Q15">
        <f t="shared" si="3"/>
        <v>-87195605.4633656</v>
      </c>
      <c r="R15">
        <f t="shared" si="3"/>
        <v>-86868375.748233393</v>
      </c>
      <c r="S15">
        <f t="shared" si="3"/>
        <v>-88430870.020451725</v>
      </c>
      <c r="T15">
        <f t="shared" si="3"/>
        <v>-91871515.860992208</v>
      </c>
      <c r="U15">
        <f t="shared" si="3"/>
        <v>-97174994.523491174</v>
      </c>
      <c r="V15">
        <f t="shared" si="3"/>
        <v>-104320567.51029935</v>
      </c>
      <c r="W15">
        <f t="shared" si="3"/>
        <v>-113280216.10765336</v>
      </c>
      <c r="X15">
        <f t="shared" si="3"/>
        <v>-124016679.55849682</v>
      </c>
      <c r="Y15">
        <f t="shared" si="3"/>
        <v>-136481493.39004913</v>
      </c>
      <c r="Z15">
        <f t="shared" si="3"/>
        <v>-150613139.85211685</v>
      </c>
      <c r="AA15">
        <f t="shared" si="3"/>
        <v>-166335426.37022462</v>
      </c>
      <c r="AB15">
        <f t="shared" si="3"/>
        <v>-183556204.66465822</v>
      </c>
      <c r="AC15">
        <f t="shared" si="3"/>
        <v>-202166532.48613444</v>
      </c>
      <c r="AD15">
        <f t="shared" si="3"/>
        <v>-222040362.04222926</v>
      </c>
      <c r="AE15">
        <f t="shared" si="3"/>
        <v>-243034814.94067842</v>
      </c>
      <c r="AF15">
        <f t="shared" si="3"/>
        <v>-264991074.16769299</v>
      </c>
      <c r="AG15">
        <f t="shared" si="3"/>
        <v>-287735890.99828732</v>
      </c>
      <c r="AH15">
        <f t="shared" si="3"/>
        <v>-311083670.87024754</v>
      </c>
      <c r="AI15">
        <f>-$C$8*$C$7/$C$4*AI11</f>
        <v>-334839069.38745308</v>
      </c>
    </row>
    <row r="17" spans="2:35" x14ac:dyDescent="0.25">
      <c r="B17" s="1" t="s">
        <v>15</v>
      </c>
      <c r="C17" s="1">
        <f>C9/(C3^2)</f>
        <v>4139999.9999999991</v>
      </c>
      <c r="E17" t="s">
        <v>19</v>
      </c>
      <c r="F17">
        <v>0</v>
      </c>
      <c r="G17">
        <f>$C$17/($C$18-$C$19*F17)</f>
        <v>0.34883720930232553</v>
      </c>
      <c r="H17">
        <f t="shared" ref="H17:AH17" si="4">$C$17/($C$18-$C$19*G17)</f>
        <v>0.39716748768472904</v>
      </c>
      <c r="I17">
        <f t="shared" si="4"/>
        <v>0.40494040593779607</v>
      </c>
      <c r="J17">
        <f t="shared" si="4"/>
        <v>0.4062190081621499</v>
      </c>
      <c r="K17">
        <f t="shared" si="4"/>
        <v>0.40643010492156101</v>
      </c>
      <c r="L17">
        <f t="shared" si="4"/>
        <v>0.40646497802255066</v>
      </c>
      <c r="M17">
        <f t="shared" si="4"/>
        <v>0.40647073962099717</v>
      </c>
      <c r="N17">
        <f t="shared" si="4"/>
        <v>0.40647169154566137</v>
      </c>
      <c r="O17">
        <f t="shared" si="4"/>
        <v>0.40647184882198806</v>
      </c>
      <c r="P17">
        <f t="shared" si="4"/>
        <v>0.40647187480708435</v>
      </c>
      <c r="Q17">
        <f t="shared" si="4"/>
        <v>0.40647187910032606</v>
      </c>
      <c r="R17">
        <f t="shared" si="4"/>
        <v>0.40647187980965277</v>
      </c>
      <c r="S17">
        <f t="shared" si="4"/>
        <v>0.4064718799268473</v>
      </c>
      <c r="T17">
        <f t="shared" si="4"/>
        <v>0.40647187994621015</v>
      </c>
      <c r="U17">
        <f t="shared" si="4"/>
        <v>0.40647187994940925</v>
      </c>
      <c r="V17">
        <f t="shared" si="4"/>
        <v>0.40647187994993778</v>
      </c>
      <c r="W17">
        <f t="shared" si="4"/>
        <v>0.40647187995002515</v>
      </c>
      <c r="X17">
        <f t="shared" si="4"/>
        <v>0.40647187995003953</v>
      </c>
      <c r="Y17">
        <f t="shared" si="4"/>
        <v>0.40647187995004191</v>
      </c>
      <c r="Z17">
        <f t="shared" si="4"/>
        <v>0.40647187995004236</v>
      </c>
      <c r="AA17">
        <f t="shared" si="4"/>
        <v>0.40647187995004236</v>
      </c>
      <c r="AB17">
        <f t="shared" si="4"/>
        <v>0.40647187995004236</v>
      </c>
      <c r="AC17">
        <f t="shared" si="4"/>
        <v>0.40647187995004236</v>
      </c>
      <c r="AD17">
        <f t="shared" si="4"/>
        <v>0.40647187995004236</v>
      </c>
      <c r="AE17">
        <f t="shared" si="4"/>
        <v>0.40647187995004236</v>
      </c>
      <c r="AF17">
        <f t="shared" si="4"/>
        <v>0.40647187995004236</v>
      </c>
      <c r="AG17">
        <f t="shared" si="4"/>
        <v>0.40647187995004236</v>
      </c>
      <c r="AH17">
        <f t="shared" si="4"/>
        <v>0.40647187995004236</v>
      </c>
      <c r="AI17">
        <f>$C$17/($C$18-$C$19*AH17)</f>
        <v>0.40647187995004236</v>
      </c>
    </row>
    <row r="18" spans="2:35" x14ac:dyDescent="0.25">
      <c r="B18" s="1" t="s">
        <v>16</v>
      </c>
      <c r="C18" s="1">
        <f>2*C9/(C3^2)+C8*C7/C4</f>
        <v>11867999.999999998</v>
      </c>
    </row>
    <row r="19" spans="2:35" x14ac:dyDescent="0.25">
      <c r="B19" s="1" t="s">
        <v>17</v>
      </c>
      <c r="C19" s="1">
        <f>C17</f>
        <v>4139999.9999999991</v>
      </c>
      <c r="E19" t="s">
        <v>20</v>
      </c>
      <c r="F19">
        <f>F11</f>
        <v>61.353917184922523</v>
      </c>
      <c r="G19">
        <f>(F19*$C$19-G15)/($C$18-$C$19*F17)</f>
        <v>37.935884058399161</v>
      </c>
      <c r="H19">
        <f t="shared" ref="H19:AH19" si="5">(G19*$C$19-H15)/($C$18-$C$19*G17)</f>
        <v>32.00368108933003</v>
      </c>
      <c r="I19">
        <f t="shared" si="5"/>
        <v>28.496181979563474</v>
      </c>
      <c r="J19">
        <f t="shared" si="5"/>
        <v>25.616759675803344</v>
      </c>
      <c r="K19">
        <f t="shared" si="5"/>
        <v>23.106329919016222</v>
      </c>
      <c r="L19">
        <f t="shared" si="5"/>
        <v>20.925503376449441</v>
      </c>
      <c r="M19">
        <f t="shared" si="5"/>
        <v>19.067286355196696</v>
      </c>
      <c r="N19">
        <f t="shared" si="5"/>
        <v>17.529481588658484</v>
      </c>
      <c r="O19">
        <f t="shared" si="5"/>
        <v>16.310623103068458</v>
      </c>
      <c r="P19">
        <f t="shared" si="5"/>
        <v>15.409386620759388</v>
      </c>
      <c r="Q19">
        <f t="shared" si="5"/>
        <v>14.824487553394237</v>
      </c>
      <c r="R19">
        <f t="shared" si="5"/>
        <v>14.55461461444288</v>
      </c>
      <c r="S19">
        <f t="shared" si="5"/>
        <v>14.598327066547157</v>
      </c>
      <c r="T19">
        <f t="shared" si="5"/>
        <v>14.953903109979493</v>
      </c>
      <c r="U19">
        <f t="shared" si="5"/>
        <v>15.619138865259181</v>
      </c>
      <c r="V19">
        <f t="shared" si="5"/>
        <v>16.591102378668236</v>
      </c>
      <c r="W19">
        <f t="shared" si="5"/>
        <v>17.865850971021143</v>
      </c>
      <c r="X19">
        <f t="shared" si="5"/>
        <v>19.438123732862422</v>
      </c>
      <c r="Y19">
        <f t="shared" si="5"/>
        <v>21.301023932302101</v>
      </c>
      <c r="Z19">
        <f t="shared" si="5"/>
        <v>23.445708329790005</v>
      </c>
      <c r="AA19">
        <f t="shared" si="5"/>
        <v>25.861101687221581</v>
      </c>
      <c r="AB19">
        <f t="shared" si="5"/>
        <v>28.533654964958657</v>
      </c>
      <c r="AC19">
        <f t="shared" si="5"/>
        <v>31.447164733573473</v>
      </c>
      <c r="AD19">
        <f t="shared" si="5"/>
        <v>34.58266917900476</v>
      </c>
      <c r="AE19">
        <f t="shared" si="5"/>
        <v>37.918432825954909</v>
      </c>
      <c r="AF19">
        <f t="shared" si="5"/>
        <v>41.430027904250728</v>
      </c>
      <c r="AG19">
        <f t="shared" si="5"/>
        <v>45.090515372868516</v>
      </c>
      <c r="AH19">
        <f t="shared" si="5"/>
        <v>48.870723295581655</v>
      </c>
      <c r="AI19">
        <f>(AH19*$C$19-AI15)/($C$18-$C$19*AH17)</f>
        <v>52.739614872628174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1род</vt:lpstr>
      <vt:lpstr>2род</vt:lpstr>
      <vt:lpstr>3род</vt:lpstr>
      <vt:lpstr>1Неявн</vt:lpstr>
      <vt:lpstr>2Неявн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Chstep</cp:lastModifiedBy>
  <dcterms:created xsi:type="dcterms:W3CDTF">2021-03-20T15:25:01Z</dcterms:created>
  <dcterms:modified xsi:type="dcterms:W3CDTF">2021-04-03T17:12:59Z</dcterms:modified>
</cp:coreProperties>
</file>